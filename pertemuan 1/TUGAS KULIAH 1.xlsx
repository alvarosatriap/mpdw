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2B737AD-43A3-460B-873D-410A298927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MA" sheetId="2" r:id="rId2"/>
    <sheet name="DMA" sheetId="3" r:id="rId3"/>
    <sheet name="SES" sheetId="4" r:id="rId4"/>
    <sheet name="DES" sheetId="5" r:id="rId5"/>
    <sheet name="eval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6" l="1"/>
  <c r="I30" i="5"/>
  <c r="I9" i="5"/>
  <c r="M8" i="5"/>
  <c r="M9" i="5" s="1"/>
  <c r="C8" i="5"/>
  <c r="C9" i="5" s="1"/>
  <c r="G27" i="4"/>
  <c r="G6" i="4"/>
  <c r="L5" i="4"/>
  <c r="C5" i="4"/>
  <c r="Q27" i="3"/>
  <c r="C27" i="3"/>
  <c r="Q26" i="3"/>
  <c r="K26" i="3"/>
  <c r="C26" i="3"/>
  <c r="Q25" i="3"/>
  <c r="C25" i="3"/>
  <c r="Q24" i="3"/>
  <c r="C24" i="3"/>
  <c r="Q23" i="3"/>
  <c r="C23" i="3"/>
  <c r="Q22" i="3"/>
  <c r="C22" i="3"/>
  <c r="Q21" i="3"/>
  <c r="C21" i="3"/>
  <c r="Q20" i="3"/>
  <c r="C20" i="3"/>
  <c r="Q19" i="3"/>
  <c r="C19" i="3"/>
  <c r="Q18" i="3"/>
  <c r="C18" i="3"/>
  <c r="Q17" i="3"/>
  <c r="C17" i="3"/>
  <c r="Q16" i="3"/>
  <c r="C16" i="3"/>
  <c r="Q15" i="3"/>
  <c r="C15" i="3"/>
  <c r="Q14" i="3"/>
  <c r="C14" i="3"/>
  <c r="Q13" i="3"/>
  <c r="C13" i="3"/>
  <c r="Q12" i="3"/>
  <c r="C12" i="3"/>
  <c r="Q11" i="3"/>
  <c r="C11" i="3"/>
  <c r="Q10" i="3"/>
  <c r="C10" i="3"/>
  <c r="Q9" i="3"/>
  <c r="C9" i="3"/>
  <c r="Q8" i="3"/>
  <c r="C8" i="3"/>
  <c r="Q7" i="3"/>
  <c r="R9" i="3" s="1"/>
  <c r="C7" i="3"/>
  <c r="D9" i="3" s="1"/>
  <c r="Q6" i="3"/>
  <c r="R8" i="3" s="1"/>
  <c r="C6" i="3"/>
  <c r="D8" i="3" s="1"/>
  <c r="O27" i="2"/>
  <c r="P27" i="2" s="1"/>
  <c r="G27" i="2"/>
  <c r="H27" i="2" s="1"/>
  <c r="O26" i="2"/>
  <c r="P26" i="2" s="1"/>
  <c r="K26" i="2"/>
  <c r="G26" i="2"/>
  <c r="H26" i="2" s="1"/>
  <c r="O25" i="2"/>
  <c r="P25" i="2" s="1"/>
  <c r="G25" i="2"/>
  <c r="H25" i="2" s="1"/>
  <c r="O24" i="2"/>
  <c r="P24" i="2" s="1"/>
  <c r="G24" i="2"/>
  <c r="H24" i="2" s="1"/>
  <c r="O23" i="2"/>
  <c r="P23" i="2" s="1"/>
  <c r="G23" i="2"/>
  <c r="H23" i="2" s="1"/>
  <c r="O22" i="2"/>
  <c r="P22" i="2" s="1"/>
  <c r="G22" i="2"/>
  <c r="H22" i="2" s="1"/>
  <c r="O21" i="2"/>
  <c r="P21" i="2" s="1"/>
  <c r="G21" i="2"/>
  <c r="H21" i="2" s="1"/>
  <c r="O20" i="2"/>
  <c r="P20" i="2" s="1"/>
  <c r="G20" i="2"/>
  <c r="H20" i="2" s="1"/>
  <c r="O19" i="2"/>
  <c r="P19" i="2" s="1"/>
  <c r="G19" i="2"/>
  <c r="H19" i="2" s="1"/>
  <c r="O18" i="2"/>
  <c r="P18" i="2" s="1"/>
  <c r="G18" i="2"/>
  <c r="H18" i="2" s="1"/>
  <c r="O17" i="2"/>
  <c r="P17" i="2" s="1"/>
  <c r="G17" i="2"/>
  <c r="H17" i="2" s="1"/>
  <c r="O16" i="2"/>
  <c r="P16" i="2" s="1"/>
  <c r="G16" i="2"/>
  <c r="H16" i="2" s="1"/>
  <c r="O15" i="2"/>
  <c r="P15" i="2" s="1"/>
  <c r="G15" i="2"/>
  <c r="H15" i="2" s="1"/>
  <c r="O14" i="2"/>
  <c r="P14" i="2" s="1"/>
  <c r="G14" i="2"/>
  <c r="H14" i="2" s="1"/>
  <c r="O13" i="2"/>
  <c r="P13" i="2" s="1"/>
  <c r="G13" i="2"/>
  <c r="H13" i="2" s="1"/>
  <c r="O12" i="2"/>
  <c r="P12" i="2" s="1"/>
  <c r="G12" i="2"/>
  <c r="H12" i="2" s="1"/>
  <c r="O11" i="2"/>
  <c r="P11" i="2" s="1"/>
  <c r="G11" i="2"/>
  <c r="H11" i="2" s="1"/>
  <c r="O10" i="2"/>
  <c r="P10" i="2" s="1"/>
  <c r="G10" i="2"/>
  <c r="H10" i="2" s="1"/>
  <c r="O9" i="2"/>
  <c r="P9" i="2" s="1"/>
  <c r="G9" i="2"/>
  <c r="H9" i="2" s="1"/>
  <c r="O8" i="2"/>
  <c r="P8" i="2" s="1"/>
  <c r="G8" i="2"/>
  <c r="H8" i="2" s="1"/>
  <c r="O7" i="2"/>
  <c r="P7" i="2" s="1"/>
  <c r="G7" i="2"/>
  <c r="H7" i="2" s="1"/>
  <c r="N9" i="5" l="1"/>
  <c r="O9" i="5"/>
  <c r="P9" i="5" s="1"/>
  <c r="M10" i="5"/>
  <c r="D9" i="5"/>
  <c r="C10" i="5" s="1"/>
  <c r="E9" i="5"/>
  <c r="F9" i="5" s="1"/>
  <c r="L6" i="4"/>
  <c r="M5" i="4"/>
  <c r="C6" i="4"/>
  <c r="D5" i="4"/>
  <c r="T25" i="3"/>
  <c r="S25" i="3"/>
  <c r="U26" i="3" s="1"/>
  <c r="V26" i="3" s="1"/>
  <c r="R27" i="3"/>
  <c r="F25" i="3"/>
  <c r="E25" i="3"/>
  <c r="G26" i="3" s="1"/>
  <c r="H26" i="3" s="1"/>
  <c r="D27" i="3"/>
  <c r="S24" i="3"/>
  <c r="T24" i="3"/>
  <c r="R26" i="3"/>
  <c r="D26" i="3"/>
  <c r="E24" i="3"/>
  <c r="F24" i="3"/>
  <c r="R25" i="3"/>
  <c r="D25" i="3"/>
  <c r="R24" i="3"/>
  <c r="D24" i="3"/>
  <c r="R23" i="3"/>
  <c r="D23" i="3"/>
  <c r="R22" i="3"/>
  <c r="D20" i="3"/>
  <c r="E20" i="3"/>
  <c r="F20" i="3"/>
  <c r="D22" i="3"/>
  <c r="D21" i="3"/>
  <c r="R19" i="3"/>
  <c r="S19" i="3" s="1"/>
  <c r="U20" i="3" s="1"/>
  <c r="V20" i="3" s="1"/>
  <c r="T19" i="3"/>
  <c r="R20" i="3"/>
  <c r="R21" i="3"/>
  <c r="D19" i="3"/>
  <c r="R18" i="3"/>
  <c r="D18" i="3"/>
  <c r="F16" i="3"/>
  <c r="E16" i="3"/>
  <c r="G17" i="3" s="1"/>
  <c r="H17" i="3" s="1"/>
  <c r="R17" i="3"/>
  <c r="T15" i="3"/>
  <c r="S15" i="3"/>
  <c r="U16" i="3" s="1"/>
  <c r="V16" i="3" s="1"/>
  <c r="D17" i="3"/>
  <c r="F15" i="3"/>
  <c r="E15" i="3"/>
  <c r="G16" i="3" s="1"/>
  <c r="H16" i="3" s="1"/>
  <c r="R16" i="3"/>
  <c r="S14" i="3"/>
  <c r="D16" i="3"/>
  <c r="R15" i="3"/>
  <c r="D15" i="3"/>
  <c r="R14" i="3"/>
  <c r="T14" i="3" s="1"/>
  <c r="D14" i="3"/>
  <c r="R13" i="3"/>
  <c r="T11" i="3"/>
  <c r="S11" i="3"/>
  <c r="U12" i="3" s="1"/>
  <c r="V12" i="3" s="1"/>
  <c r="D13" i="3"/>
  <c r="F11" i="3"/>
  <c r="E11" i="3"/>
  <c r="G12" i="3" s="1"/>
  <c r="H12" i="3" s="1"/>
  <c r="R12" i="3"/>
  <c r="T10" i="3"/>
  <c r="S10" i="3"/>
  <c r="U11" i="3" s="1"/>
  <c r="V11" i="3" s="1"/>
  <c r="D12" i="3"/>
  <c r="F10" i="3"/>
  <c r="E10" i="3"/>
  <c r="G11" i="3" s="1"/>
  <c r="H11" i="3" s="1"/>
  <c r="R11" i="3"/>
  <c r="T9" i="3"/>
  <c r="S9" i="3"/>
  <c r="U10" i="3" s="1"/>
  <c r="V10" i="3" s="1"/>
  <c r="D11" i="3"/>
  <c r="F9" i="3"/>
  <c r="E9" i="3"/>
  <c r="G10" i="3" s="1"/>
  <c r="H10" i="3" s="1"/>
  <c r="S8" i="3"/>
  <c r="R10" i="3"/>
  <c r="T8" i="3"/>
  <c r="D10" i="3"/>
  <c r="E8" i="3"/>
  <c r="F8" i="3"/>
  <c r="Q27" i="2"/>
  <c r="S27" i="2" s="1"/>
  <c r="R27" i="2"/>
  <c r="I27" i="2"/>
  <c r="K27" i="2" s="1"/>
  <c r="J27" i="2"/>
  <c r="Q26" i="2"/>
  <c r="S26" i="2" s="1"/>
  <c r="R26" i="2"/>
  <c r="J26" i="2"/>
  <c r="I26" i="2"/>
  <c r="Q25" i="2"/>
  <c r="S25" i="2" s="1"/>
  <c r="R25" i="2"/>
  <c r="I25" i="2"/>
  <c r="K25" i="2" s="1"/>
  <c r="J25" i="2"/>
  <c r="Q24" i="2"/>
  <c r="S24" i="2" s="1"/>
  <c r="R24" i="2"/>
  <c r="I24" i="2"/>
  <c r="K24" i="2" s="1"/>
  <c r="J24" i="2"/>
  <c r="R23" i="2"/>
  <c r="Q23" i="2"/>
  <c r="S23" i="2" s="1"/>
  <c r="I23" i="2"/>
  <c r="K23" i="2" s="1"/>
  <c r="J23" i="2"/>
  <c r="Q22" i="2"/>
  <c r="S22" i="2" s="1"/>
  <c r="R22" i="2"/>
  <c r="I22" i="2"/>
  <c r="K22" i="2" s="1"/>
  <c r="J22" i="2"/>
  <c r="Q21" i="2"/>
  <c r="S21" i="2" s="1"/>
  <c r="R21" i="2"/>
  <c r="I21" i="2"/>
  <c r="K21" i="2" s="1"/>
  <c r="J21" i="2"/>
  <c r="Q20" i="2"/>
  <c r="S20" i="2" s="1"/>
  <c r="R20" i="2"/>
  <c r="I20" i="2"/>
  <c r="K20" i="2" s="1"/>
  <c r="J20" i="2"/>
  <c r="Q19" i="2"/>
  <c r="S19" i="2" s="1"/>
  <c r="R19" i="2"/>
  <c r="I19" i="2"/>
  <c r="K19" i="2" s="1"/>
  <c r="J19" i="2"/>
  <c r="Q18" i="2"/>
  <c r="S18" i="2" s="1"/>
  <c r="R18" i="2"/>
  <c r="I18" i="2"/>
  <c r="K18" i="2" s="1"/>
  <c r="J18" i="2"/>
  <c r="Q17" i="2"/>
  <c r="S17" i="2" s="1"/>
  <c r="R17" i="2"/>
  <c r="I17" i="2"/>
  <c r="K17" i="2" s="1"/>
  <c r="J17" i="2"/>
  <c r="Q16" i="2"/>
  <c r="S16" i="2" s="1"/>
  <c r="R16" i="2"/>
  <c r="I16" i="2"/>
  <c r="K16" i="2" s="1"/>
  <c r="J16" i="2"/>
  <c r="Q15" i="2"/>
  <c r="S15" i="2" s="1"/>
  <c r="R15" i="2"/>
  <c r="I15" i="2"/>
  <c r="K15" i="2" s="1"/>
  <c r="J15" i="2"/>
  <c r="Q14" i="2"/>
  <c r="S14" i="2" s="1"/>
  <c r="R14" i="2"/>
  <c r="I14" i="2"/>
  <c r="K14" i="2" s="1"/>
  <c r="J14" i="2"/>
  <c r="Q13" i="2"/>
  <c r="S13" i="2" s="1"/>
  <c r="R13" i="2"/>
  <c r="I13" i="2"/>
  <c r="K13" i="2" s="1"/>
  <c r="J13" i="2"/>
  <c r="Q12" i="2"/>
  <c r="S12" i="2" s="1"/>
  <c r="R12" i="2"/>
  <c r="I12" i="2"/>
  <c r="K12" i="2" s="1"/>
  <c r="J12" i="2"/>
  <c r="Q11" i="2"/>
  <c r="S11" i="2" s="1"/>
  <c r="R11" i="2"/>
  <c r="I11" i="2"/>
  <c r="K11" i="2" s="1"/>
  <c r="J11" i="2"/>
  <c r="Q10" i="2"/>
  <c r="S10" i="2" s="1"/>
  <c r="R10" i="2"/>
  <c r="I10" i="2"/>
  <c r="K10" i="2" s="1"/>
  <c r="J10" i="2"/>
  <c r="Q9" i="2"/>
  <c r="S9" i="2" s="1"/>
  <c r="R9" i="2"/>
  <c r="I9" i="2"/>
  <c r="K9" i="2" s="1"/>
  <c r="J9" i="2"/>
  <c r="Q8" i="2"/>
  <c r="S8" i="2" s="1"/>
  <c r="R8" i="2"/>
  <c r="I8" i="2"/>
  <c r="K8" i="2" s="1"/>
  <c r="J8" i="2"/>
  <c r="Q7" i="2"/>
  <c r="R7" i="2"/>
  <c r="I7" i="2"/>
  <c r="J7" i="2"/>
  <c r="Q9" i="5" l="1"/>
  <c r="R9" i="5"/>
  <c r="N10" i="5"/>
  <c r="O10" i="5"/>
  <c r="P10" i="5" s="1"/>
  <c r="M11" i="5"/>
  <c r="D10" i="5"/>
  <c r="E10" i="5"/>
  <c r="F10" i="5" s="1"/>
  <c r="C11" i="5"/>
  <c r="H9" i="5"/>
  <c r="G9" i="5"/>
  <c r="M6" i="4"/>
  <c r="L7" i="4"/>
  <c r="O5" i="4"/>
  <c r="N5" i="4"/>
  <c r="D6" i="4"/>
  <c r="C7" i="4"/>
  <c r="E5" i="4"/>
  <c r="F5" i="4"/>
  <c r="W26" i="3"/>
  <c r="Y26" i="3" s="1"/>
  <c r="X26" i="3"/>
  <c r="J26" i="3"/>
  <c r="I26" i="3"/>
  <c r="X20" i="3"/>
  <c r="W20" i="3"/>
  <c r="Y20" i="3" s="1"/>
  <c r="I17" i="3"/>
  <c r="K17" i="3" s="1"/>
  <c r="J17" i="3"/>
  <c r="W16" i="3"/>
  <c r="Y16" i="3" s="1"/>
  <c r="X16" i="3"/>
  <c r="I16" i="3"/>
  <c r="K16" i="3" s="1"/>
  <c r="J16" i="3"/>
  <c r="W12" i="3"/>
  <c r="Y12" i="3" s="1"/>
  <c r="X12" i="3"/>
  <c r="I12" i="3"/>
  <c r="K12" i="3" s="1"/>
  <c r="J12" i="3"/>
  <c r="W11" i="3"/>
  <c r="Y11" i="3" s="1"/>
  <c r="X11" i="3"/>
  <c r="I11" i="3"/>
  <c r="K11" i="3" s="1"/>
  <c r="J11" i="3"/>
  <c r="W10" i="3"/>
  <c r="Y10" i="3" s="1"/>
  <c r="X10" i="3"/>
  <c r="I10" i="3"/>
  <c r="K10" i="3" s="1"/>
  <c r="J10" i="3"/>
  <c r="S7" i="2"/>
  <c r="N34" i="2" s="1"/>
  <c r="E15" i="6" s="1"/>
  <c r="N31" i="2"/>
  <c r="B15" i="6" s="1"/>
  <c r="K7" i="2"/>
  <c r="F34" i="2" s="1"/>
  <c r="E4" i="6" s="1"/>
  <c r="F31" i="2"/>
  <c r="U25" i="3"/>
  <c r="V25" i="3" s="1"/>
  <c r="G25" i="3"/>
  <c r="H25" i="3" s="1"/>
  <c r="G21" i="3"/>
  <c r="H21" i="3" s="1"/>
  <c r="U15" i="3"/>
  <c r="V15" i="3" s="1"/>
  <c r="U9" i="3"/>
  <c r="V9" i="3" s="1"/>
  <c r="G9" i="3"/>
  <c r="H9" i="3" s="1"/>
  <c r="N32" i="2"/>
  <c r="F32" i="2"/>
  <c r="T27" i="3"/>
  <c r="S27" i="3"/>
  <c r="U28" i="3" s="1"/>
  <c r="F27" i="3"/>
  <c r="E27" i="3"/>
  <c r="G28" i="3" s="1"/>
  <c r="S26" i="3"/>
  <c r="T26" i="3"/>
  <c r="F26" i="3"/>
  <c r="E26" i="3"/>
  <c r="G27" i="3" s="1"/>
  <c r="H27" i="3" s="1"/>
  <c r="T23" i="3"/>
  <c r="S23" i="3"/>
  <c r="F23" i="3"/>
  <c r="E23" i="3"/>
  <c r="G24" i="3" s="1"/>
  <c r="H24" i="3" s="1"/>
  <c r="T22" i="3"/>
  <c r="S22" i="3"/>
  <c r="U23" i="3" s="1"/>
  <c r="V23" i="3" s="1"/>
  <c r="F22" i="3"/>
  <c r="E22" i="3"/>
  <c r="G23" i="3" s="1"/>
  <c r="H23" i="3" s="1"/>
  <c r="F21" i="3"/>
  <c r="E21" i="3"/>
  <c r="G22" i="3" s="1"/>
  <c r="H22" i="3" s="1"/>
  <c r="S20" i="3"/>
  <c r="T20" i="3"/>
  <c r="S21" i="3"/>
  <c r="T21" i="3"/>
  <c r="E19" i="3"/>
  <c r="F19" i="3"/>
  <c r="S18" i="3"/>
  <c r="T18" i="3"/>
  <c r="E18" i="3"/>
  <c r="F18" i="3"/>
  <c r="S17" i="3"/>
  <c r="T17" i="3"/>
  <c r="E17" i="3"/>
  <c r="F17" i="3"/>
  <c r="S16" i="3"/>
  <c r="T16" i="3"/>
  <c r="F14" i="3"/>
  <c r="E14" i="3"/>
  <c r="G15" i="3" s="1"/>
  <c r="H15" i="3" s="1"/>
  <c r="T13" i="3"/>
  <c r="S13" i="3"/>
  <c r="U14" i="3" s="1"/>
  <c r="V14" i="3" s="1"/>
  <c r="F13" i="3"/>
  <c r="E13" i="3"/>
  <c r="G14" i="3" s="1"/>
  <c r="H14" i="3" s="1"/>
  <c r="S12" i="3"/>
  <c r="T12" i="3"/>
  <c r="E12" i="3"/>
  <c r="F12" i="3"/>
  <c r="S9" i="5" l="1"/>
  <c r="Q10" i="5"/>
  <c r="R10" i="5"/>
  <c r="N11" i="5"/>
  <c r="O11" i="5"/>
  <c r="P11" i="5" s="1"/>
  <c r="M12" i="5"/>
  <c r="G10" i="5"/>
  <c r="H10" i="5"/>
  <c r="D11" i="5"/>
  <c r="E11" i="5"/>
  <c r="F11" i="5" s="1"/>
  <c r="C12" i="5"/>
  <c r="N6" i="4"/>
  <c r="P6" i="4" s="1"/>
  <c r="O6" i="4"/>
  <c r="M7" i="4"/>
  <c r="L8" i="4"/>
  <c r="P5" i="4"/>
  <c r="F6" i="4"/>
  <c r="E6" i="4"/>
  <c r="D7" i="4"/>
  <c r="C8" i="4"/>
  <c r="G5" i="4"/>
  <c r="W25" i="3"/>
  <c r="Y25" i="3" s="1"/>
  <c r="X25" i="3"/>
  <c r="J25" i="3"/>
  <c r="I25" i="3"/>
  <c r="K25" i="3" s="1"/>
  <c r="J21" i="3"/>
  <c r="I21" i="3"/>
  <c r="K21" i="3" s="1"/>
  <c r="X15" i="3"/>
  <c r="W15" i="3"/>
  <c r="Y15" i="3" s="1"/>
  <c r="X9" i="3"/>
  <c r="W9" i="3"/>
  <c r="J9" i="3"/>
  <c r="I9" i="3"/>
  <c r="C15" i="6"/>
  <c r="N33" i="2"/>
  <c r="D15" i="6" s="1"/>
  <c r="C4" i="6"/>
  <c r="F33" i="2"/>
  <c r="D4" i="6" s="1"/>
  <c r="I27" i="3"/>
  <c r="K27" i="3" s="1"/>
  <c r="J27" i="3"/>
  <c r="I24" i="3"/>
  <c r="K24" i="3" s="1"/>
  <c r="J24" i="3"/>
  <c r="W23" i="3"/>
  <c r="Y23" i="3" s="1"/>
  <c r="X23" i="3"/>
  <c r="J23" i="3"/>
  <c r="I23" i="3"/>
  <c r="K23" i="3" s="1"/>
  <c r="I22" i="3"/>
  <c r="K22" i="3" s="1"/>
  <c r="J22" i="3"/>
  <c r="J15" i="3"/>
  <c r="I15" i="3"/>
  <c r="K15" i="3" s="1"/>
  <c r="X14" i="3"/>
  <c r="W14" i="3"/>
  <c r="Y14" i="3" s="1"/>
  <c r="J14" i="3"/>
  <c r="I14" i="3"/>
  <c r="K14" i="3" s="1"/>
  <c r="U27" i="3"/>
  <c r="V27" i="3" s="1"/>
  <c r="U24" i="3"/>
  <c r="V24" i="3" s="1"/>
  <c r="U21" i="3"/>
  <c r="V21" i="3" s="1"/>
  <c r="U22" i="3"/>
  <c r="V22" i="3" s="1"/>
  <c r="G20" i="3"/>
  <c r="H20" i="3" s="1"/>
  <c r="U19" i="3"/>
  <c r="V19" i="3" s="1"/>
  <c r="G19" i="3"/>
  <c r="H19" i="3" s="1"/>
  <c r="U18" i="3"/>
  <c r="V18" i="3" s="1"/>
  <c r="G18" i="3"/>
  <c r="H18" i="3" s="1"/>
  <c r="U17" i="3"/>
  <c r="V17" i="3" s="1"/>
  <c r="U13" i="3"/>
  <c r="V13" i="3" s="1"/>
  <c r="G13" i="3"/>
  <c r="H13" i="3" s="1"/>
  <c r="Q11" i="5" l="1"/>
  <c r="S11" i="5" s="1"/>
  <c r="R11" i="5"/>
  <c r="N12" i="5"/>
  <c r="O12" i="5"/>
  <c r="P12" i="5" s="1"/>
  <c r="M13" i="5"/>
  <c r="I10" i="5"/>
  <c r="G11" i="5"/>
  <c r="I11" i="5" s="1"/>
  <c r="H11" i="5"/>
  <c r="D12" i="5"/>
  <c r="E12" i="5"/>
  <c r="F12" i="5" s="1"/>
  <c r="C13" i="5"/>
  <c r="N7" i="4"/>
  <c r="O7" i="4"/>
  <c r="M8" i="4"/>
  <c r="L9" i="4"/>
  <c r="E7" i="4"/>
  <c r="F7" i="4"/>
  <c r="D8" i="4"/>
  <c r="C9" i="4"/>
  <c r="Y9" i="3"/>
  <c r="P33" i="3" s="1"/>
  <c r="E16" i="6" s="1"/>
  <c r="K9" i="3"/>
  <c r="X27" i="3"/>
  <c r="W27" i="3"/>
  <c r="Y27" i="3" s="1"/>
  <c r="W24" i="3"/>
  <c r="Y24" i="3" s="1"/>
  <c r="X24" i="3"/>
  <c r="W21" i="3"/>
  <c r="Y21" i="3" s="1"/>
  <c r="X21" i="3"/>
  <c r="X22" i="3"/>
  <c r="W22" i="3"/>
  <c r="Y22" i="3" s="1"/>
  <c r="I20" i="3"/>
  <c r="K20" i="3" s="1"/>
  <c r="J20" i="3"/>
  <c r="X19" i="3"/>
  <c r="W19" i="3"/>
  <c r="Y19" i="3" s="1"/>
  <c r="I19" i="3"/>
  <c r="K19" i="3" s="1"/>
  <c r="J19" i="3"/>
  <c r="W18" i="3"/>
  <c r="Y18" i="3" s="1"/>
  <c r="X18" i="3"/>
  <c r="I18" i="3"/>
  <c r="K18" i="3" s="1"/>
  <c r="J18" i="3"/>
  <c r="W17" i="3"/>
  <c r="Y17" i="3" s="1"/>
  <c r="X17" i="3"/>
  <c r="W13" i="3"/>
  <c r="X13" i="3"/>
  <c r="I13" i="3"/>
  <c r="J13" i="3"/>
  <c r="B32" i="3" s="1"/>
  <c r="S10" i="5"/>
  <c r="Q12" i="5" l="1"/>
  <c r="R12" i="5"/>
  <c r="N13" i="5"/>
  <c r="O13" i="5"/>
  <c r="P13" i="5" s="1"/>
  <c r="M14" i="5"/>
  <c r="G12" i="5"/>
  <c r="H12" i="5"/>
  <c r="D13" i="5"/>
  <c r="E13" i="5"/>
  <c r="F13" i="5" s="1"/>
  <c r="C14" i="5"/>
  <c r="P7" i="4"/>
  <c r="N8" i="4"/>
  <c r="P8" i="4" s="1"/>
  <c r="O8" i="4"/>
  <c r="M9" i="4"/>
  <c r="L10" i="4"/>
  <c r="G7" i="4"/>
  <c r="E8" i="4"/>
  <c r="G8" i="4" s="1"/>
  <c r="F8" i="4"/>
  <c r="D9" i="4"/>
  <c r="C10" i="4"/>
  <c r="C5" i="6"/>
  <c r="B33" i="3"/>
  <c r="D5" i="6" s="1"/>
  <c r="P31" i="3"/>
  <c r="Y13" i="3"/>
  <c r="P30" i="3"/>
  <c r="B16" i="6" s="1"/>
  <c r="K13" i="3"/>
  <c r="B34" i="3" s="1"/>
  <c r="E5" i="6" s="1"/>
  <c r="B31" i="3"/>
  <c r="B5" i="6" s="1"/>
  <c r="S12" i="5" l="1"/>
  <c r="Q13" i="5"/>
  <c r="R13" i="5"/>
  <c r="N14" i="5"/>
  <c r="M15" i="5" s="1"/>
  <c r="O14" i="5"/>
  <c r="P14" i="5" s="1"/>
  <c r="I12" i="5"/>
  <c r="G13" i="5"/>
  <c r="H13" i="5"/>
  <c r="D14" i="5"/>
  <c r="E14" i="5"/>
  <c r="F14" i="5" s="1"/>
  <c r="C15" i="5"/>
  <c r="N9" i="4"/>
  <c r="O9" i="4"/>
  <c r="M10" i="4"/>
  <c r="L11" i="4"/>
  <c r="E9" i="4"/>
  <c r="F9" i="4"/>
  <c r="D10" i="4"/>
  <c r="C11" i="4"/>
  <c r="C16" i="6"/>
  <c r="P32" i="3"/>
  <c r="D16" i="6" s="1"/>
  <c r="Q14" i="5" l="1"/>
  <c r="S14" i="5" s="1"/>
  <c r="R14" i="5"/>
  <c r="N15" i="5"/>
  <c r="G14" i="5"/>
  <c r="I14" i="5" s="1"/>
  <c r="H14" i="5"/>
  <c r="D15" i="5"/>
  <c r="E15" i="5"/>
  <c r="F15" i="5" s="1"/>
  <c r="C16" i="5"/>
  <c r="P9" i="4"/>
  <c r="N10" i="4"/>
  <c r="O10" i="4"/>
  <c r="M11" i="4"/>
  <c r="L12" i="4"/>
  <c r="G9" i="4"/>
  <c r="E10" i="4"/>
  <c r="F10" i="4"/>
  <c r="D11" i="4"/>
  <c r="C12" i="4"/>
  <c r="S13" i="5"/>
  <c r="I13" i="5"/>
  <c r="G15" i="5" l="1"/>
  <c r="I15" i="5" s="1"/>
  <c r="H15" i="5"/>
  <c r="D16" i="5"/>
  <c r="E16" i="5" s="1"/>
  <c r="F16" i="5" s="1"/>
  <c r="C17" i="5"/>
  <c r="N11" i="4"/>
  <c r="P11" i="4" s="1"/>
  <c r="O11" i="4"/>
  <c r="M12" i="4"/>
  <c r="L13" i="4"/>
  <c r="E11" i="4"/>
  <c r="G11" i="4" s="1"/>
  <c r="F11" i="4"/>
  <c r="D12" i="4"/>
  <c r="C13" i="4"/>
  <c r="M16" i="5"/>
  <c r="O15" i="5"/>
  <c r="P15" i="5" s="1"/>
  <c r="P10" i="4"/>
  <c r="G10" i="4"/>
  <c r="G16" i="5" l="1"/>
  <c r="I16" i="5" s="1"/>
  <c r="H16" i="5"/>
  <c r="D17" i="5"/>
  <c r="N12" i="4"/>
  <c r="P12" i="4" s="1"/>
  <c r="O12" i="4"/>
  <c r="M13" i="4"/>
  <c r="L14" i="4"/>
  <c r="E12" i="4"/>
  <c r="G12" i="4" s="1"/>
  <c r="F12" i="4"/>
  <c r="D13" i="4"/>
  <c r="C14" i="4"/>
  <c r="M17" i="5"/>
  <c r="N16" i="5"/>
  <c r="O16" i="5" s="1"/>
  <c r="P16" i="5" s="1"/>
  <c r="R15" i="5"/>
  <c r="Q15" i="5"/>
  <c r="S15" i="5" s="1"/>
  <c r="N13" i="4" l="1"/>
  <c r="P13" i="4" s="1"/>
  <c r="O13" i="4"/>
  <c r="M14" i="4"/>
  <c r="L15" i="4"/>
  <c r="E13" i="4"/>
  <c r="G13" i="4" s="1"/>
  <c r="F13" i="4"/>
  <c r="D14" i="4"/>
  <c r="C15" i="4"/>
  <c r="N17" i="5"/>
  <c r="O17" i="5"/>
  <c r="P17" i="5" s="1"/>
  <c r="M18" i="5"/>
  <c r="Q16" i="5"/>
  <c r="S16" i="5" s="1"/>
  <c r="R16" i="5"/>
  <c r="E17" i="5"/>
  <c r="F17" i="5" s="1"/>
  <c r="C18" i="5"/>
  <c r="N14" i="4" l="1"/>
  <c r="P14" i="4" s="1"/>
  <c r="O14" i="4"/>
  <c r="M15" i="4"/>
  <c r="L16" i="4"/>
  <c r="E14" i="4"/>
  <c r="G14" i="4" s="1"/>
  <c r="F14" i="4"/>
  <c r="D15" i="4"/>
  <c r="C16" i="4"/>
  <c r="Q17" i="5"/>
  <c r="S17" i="5" s="1"/>
  <c r="R17" i="5"/>
  <c r="N18" i="5"/>
  <c r="G17" i="5"/>
  <c r="I17" i="5" s="1"/>
  <c r="H17" i="5"/>
  <c r="D18" i="5"/>
  <c r="E18" i="5" s="1"/>
  <c r="F18" i="5" s="1"/>
  <c r="C19" i="5"/>
  <c r="O15" i="4" l="1"/>
  <c r="N15" i="4"/>
  <c r="P15" i="4" s="1"/>
  <c r="M16" i="4"/>
  <c r="L17" i="4"/>
  <c r="F15" i="4"/>
  <c r="E15" i="4"/>
  <c r="G15" i="4" s="1"/>
  <c r="D16" i="4"/>
  <c r="C17" i="4"/>
  <c r="G18" i="5"/>
  <c r="I18" i="5" s="1"/>
  <c r="H18" i="5"/>
  <c r="D19" i="5"/>
  <c r="O18" i="5"/>
  <c r="P18" i="5" s="1"/>
  <c r="M19" i="5"/>
  <c r="N16" i="4" l="1"/>
  <c r="P16" i="4" s="1"/>
  <c r="O16" i="4"/>
  <c r="L18" i="4"/>
  <c r="M17" i="4"/>
  <c r="F16" i="4"/>
  <c r="E16" i="4"/>
  <c r="G16" i="4" s="1"/>
  <c r="C18" i="4"/>
  <c r="D17" i="4"/>
  <c r="Q18" i="5"/>
  <c r="S18" i="5" s="1"/>
  <c r="R18" i="5"/>
  <c r="N19" i="5"/>
  <c r="M20" i="5" s="1"/>
  <c r="O19" i="5"/>
  <c r="P19" i="5" s="1"/>
  <c r="E19" i="5"/>
  <c r="F19" i="5" s="1"/>
  <c r="C20" i="5"/>
  <c r="L19" i="4" l="1"/>
  <c r="M18" i="4"/>
  <c r="N17" i="4"/>
  <c r="P17" i="4" s="1"/>
  <c r="O17" i="4"/>
  <c r="D18" i="4"/>
  <c r="C19" i="4"/>
  <c r="F17" i="4"/>
  <c r="E17" i="4"/>
  <c r="G17" i="4" s="1"/>
  <c r="N20" i="5"/>
  <c r="R19" i="5"/>
  <c r="Q19" i="5"/>
  <c r="S19" i="5" s="1"/>
  <c r="G19" i="5"/>
  <c r="I19" i="5" s="1"/>
  <c r="H19" i="5"/>
  <c r="C21" i="5"/>
  <c r="D20" i="5"/>
  <c r="E20" i="5" s="1"/>
  <c r="F20" i="5" s="1"/>
  <c r="M19" i="4" l="1"/>
  <c r="L20" i="4"/>
  <c r="N18" i="4"/>
  <c r="P18" i="4" s="1"/>
  <c r="O18" i="4"/>
  <c r="E18" i="4"/>
  <c r="G18" i="4" s="1"/>
  <c r="F18" i="4"/>
  <c r="D19" i="4"/>
  <c r="C20" i="4"/>
  <c r="D21" i="5"/>
  <c r="H20" i="5"/>
  <c r="G20" i="5"/>
  <c r="I20" i="5" s="1"/>
  <c r="O20" i="5"/>
  <c r="P20" i="5" s="1"/>
  <c r="M21" i="5"/>
  <c r="O19" i="4" l="1"/>
  <c r="N19" i="4"/>
  <c r="P19" i="4" s="1"/>
  <c r="M20" i="4"/>
  <c r="L21" i="4"/>
  <c r="E19" i="4"/>
  <c r="G19" i="4" s="1"/>
  <c r="F19" i="4"/>
  <c r="D20" i="4"/>
  <c r="C21" i="4"/>
  <c r="R20" i="5"/>
  <c r="Q20" i="5"/>
  <c r="S20" i="5" s="1"/>
  <c r="N21" i="5"/>
  <c r="M22" i="5"/>
  <c r="O21" i="5"/>
  <c r="P21" i="5" s="1"/>
  <c r="E21" i="5"/>
  <c r="F21" i="5" s="1"/>
  <c r="C22" i="5"/>
  <c r="N20" i="4" l="1"/>
  <c r="P20" i="4" s="1"/>
  <c r="O20" i="4"/>
  <c r="M21" i="4"/>
  <c r="L22" i="4"/>
  <c r="F20" i="4"/>
  <c r="E20" i="4"/>
  <c r="G20" i="4" s="1"/>
  <c r="C22" i="4"/>
  <c r="D21" i="4"/>
  <c r="N22" i="5"/>
  <c r="M23" i="5" s="1"/>
  <c r="O22" i="5"/>
  <c r="P22" i="5" s="1"/>
  <c r="R21" i="5"/>
  <c r="Q21" i="5"/>
  <c r="S21" i="5" s="1"/>
  <c r="G21" i="5"/>
  <c r="I21" i="5" s="1"/>
  <c r="H21" i="5"/>
  <c r="D22" i="5"/>
  <c r="C23" i="5" s="1"/>
  <c r="E22" i="5"/>
  <c r="F22" i="5" s="1"/>
  <c r="O21" i="4" l="1"/>
  <c r="N21" i="4"/>
  <c r="P21" i="4" s="1"/>
  <c r="L23" i="4"/>
  <c r="M22" i="4"/>
  <c r="C23" i="4"/>
  <c r="D22" i="4"/>
  <c r="E21" i="4"/>
  <c r="G21" i="4" s="1"/>
  <c r="F21" i="4"/>
  <c r="N23" i="5"/>
  <c r="M24" i="5" s="1"/>
  <c r="O23" i="5"/>
  <c r="P23" i="5" s="1"/>
  <c r="Q22" i="5"/>
  <c r="S22" i="5" s="1"/>
  <c r="R22" i="5"/>
  <c r="D23" i="5"/>
  <c r="E23" i="5"/>
  <c r="F23" i="5" s="1"/>
  <c r="C24" i="5"/>
  <c r="H22" i="5"/>
  <c r="G22" i="5"/>
  <c r="I22" i="5" s="1"/>
  <c r="M23" i="4" l="1"/>
  <c r="L24" i="4"/>
  <c r="O22" i="4"/>
  <c r="N22" i="4"/>
  <c r="P22" i="4" s="1"/>
  <c r="C24" i="4"/>
  <c r="D23" i="4"/>
  <c r="E22" i="4"/>
  <c r="G22" i="4" s="1"/>
  <c r="F22" i="4"/>
  <c r="N24" i="5"/>
  <c r="R23" i="5"/>
  <c r="Q23" i="5"/>
  <c r="S23" i="5" s="1"/>
  <c r="H23" i="5"/>
  <c r="G23" i="5"/>
  <c r="I23" i="5" s="1"/>
  <c r="D24" i="5"/>
  <c r="O23" i="4" l="1"/>
  <c r="N23" i="4"/>
  <c r="P23" i="4" s="1"/>
  <c r="M24" i="4"/>
  <c r="L25" i="4"/>
  <c r="C25" i="4"/>
  <c r="D24" i="4"/>
  <c r="F23" i="4"/>
  <c r="E23" i="4"/>
  <c r="G23" i="4" s="1"/>
  <c r="M25" i="5"/>
  <c r="O24" i="5"/>
  <c r="P24" i="5" s="1"/>
  <c r="E24" i="5"/>
  <c r="F24" i="5" s="1"/>
  <c r="C25" i="5"/>
  <c r="O24" i="4" l="1"/>
  <c r="N24" i="4"/>
  <c r="P24" i="4" s="1"/>
  <c r="L26" i="4"/>
  <c r="M25" i="4"/>
  <c r="C26" i="4"/>
  <c r="D25" i="4"/>
  <c r="E24" i="4"/>
  <c r="G24" i="4" s="1"/>
  <c r="F24" i="4"/>
  <c r="N25" i="5"/>
  <c r="M26" i="5" s="1"/>
  <c r="O25" i="5"/>
  <c r="P25" i="5" s="1"/>
  <c r="Q24" i="5"/>
  <c r="S24" i="5" s="1"/>
  <c r="R24" i="5"/>
  <c r="H24" i="5"/>
  <c r="G24" i="5"/>
  <c r="I24" i="5" s="1"/>
  <c r="D25" i="5"/>
  <c r="C26" i="5" s="1"/>
  <c r="E25" i="5"/>
  <c r="F25" i="5" s="1"/>
  <c r="M26" i="4" l="1"/>
  <c r="L27" i="4"/>
  <c r="O25" i="4"/>
  <c r="N25" i="4"/>
  <c r="P25" i="4" s="1"/>
  <c r="C27" i="4"/>
  <c r="D26" i="4"/>
  <c r="F25" i="4"/>
  <c r="E25" i="4"/>
  <c r="G25" i="4" s="1"/>
  <c r="N26" i="5"/>
  <c r="O26" i="5" s="1"/>
  <c r="P26" i="5" s="1"/>
  <c r="M27" i="5"/>
  <c r="R25" i="5"/>
  <c r="Q25" i="5"/>
  <c r="S25" i="5" s="1"/>
  <c r="D26" i="5"/>
  <c r="H25" i="5"/>
  <c r="G25" i="5"/>
  <c r="I25" i="5" s="1"/>
  <c r="O26" i="4" l="1"/>
  <c r="N26" i="4"/>
  <c r="P26" i="4" s="1"/>
  <c r="L28" i="4"/>
  <c r="M28" i="4" s="1"/>
  <c r="M27" i="4"/>
  <c r="D27" i="4"/>
  <c r="C28" i="4"/>
  <c r="D28" i="4" s="1"/>
  <c r="F26" i="4"/>
  <c r="E26" i="4"/>
  <c r="G26" i="4" s="1"/>
  <c r="Q26" i="5"/>
  <c r="S26" i="5" s="1"/>
  <c r="R26" i="5"/>
  <c r="N27" i="5"/>
  <c r="O27" i="5" s="1"/>
  <c r="P27" i="5" s="1"/>
  <c r="M28" i="5"/>
  <c r="C27" i="5"/>
  <c r="E26" i="5"/>
  <c r="F26" i="5" s="1"/>
  <c r="O28" i="4" l="1"/>
  <c r="N28" i="4"/>
  <c r="N27" i="4"/>
  <c r="P27" i="4" s="1"/>
  <c r="O27" i="4"/>
  <c r="F27" i="4"/>
  <c r="E27" i="4"/>
  <c r="F28" i="4"/>
  <c r="E28" i="4"/>
  <c r="Q27" i="5"/>
  <c r="S27" i="5" s="1"/>
  <c r="R27" i="5"/>
  <c r="N28" i="5"/>
  <c r="D27" i="5"/>
  <c r="C28" i="5"/>
  <c r="E27" i="5"/>
  <c r="F27" i="5" s="1"/>
  <c r="H26" i="5"/>
  <c r="G26" i="5"/>
  <c r="I26" i="5" s="1"/>
  <c r="K31" i="4" l="1"/>
  <c r="B17" i="6" s="1"/>
  <c r="P28" i="4"/>
  <c r="K34" i="4" s="1"/>
  <c r="E17" i="6" s="1"/>
  <c r="B32" i="4"/>
  <c r="B6" i="6" s="1"/>
  <c r="G28" i="4"/>
  <c r="B35" i="4" s="1"/>
  <c r="E6" i="6" s="1"/>
  <c r="D28" i="5"/>
  <c r="E28" i="5" s="1"/>
  <c r="F28" i="5" s="1"/>
  <c r="C29" i="5"/>
  <c r="G27" i="5"/>
  <c r="I27" i="5" s="1"/>
  <c r="H27" i="5"/>
  <c r="B33" i="4"/>
  <c r="K32" i="4"/>
  <c r="O28" i="5"/>
  <c r="P28" i="5" s="1"/>
  <c r="M29" i="5"/>
  <c r="G28" i="5" l="1"/>
  <c r="I28" i="5" s="1"/>
  <c r="H28" i="5"/>
  <c r="D29" i="5"/>
  <c r="E29" i="5" s="1"/>
  <c r="F29" i="5" s="1"/>
  <c r="C30" i="5"/>
  <c r="B34" i="4"/>
  <c r="D6" i="6" s="1"/>
  <c r="C6" i="6"/>
  <c r="C17" i="6"/>
  <c r="K33" i="4"/>
  <c r="D17" i="6" s="1"/>
  <c r="Q28" i="5"/>
  <c r="S28" i="5" s="1"/>
  <c r="R28" i="5"/>
  <c r="N29" i="5"/>
  <c r="M30" i="5" s="1"/>
  <c r="O29" i="5"/>
  <c r="P29" i="5" s="1"/>
  <c r="G29" i="5" l="1"/>
  <c r="I29" i="5" s="1"/>
  <c r="H29" i="5"/>
  <c r="D30" i="5"/>
  <c r="N30" i="5"/>
  <c r="M31" i="5" s="1"/>
  <c r="O30" i="5"/>
  <c r="P30" i="5" s="1"/>
  <c r="R29" i="5"/>
  <c r="Q29" i="5"/>
  <c r="S29" i="5" s="1"/>
  <c r="N31" i="5" l="1"/>
  <c r="O31" i="5" s="1"/>
  <c r="P31" i="5" s="1"/>
  <c r="R30" i="5"/>
  <c r="Q30" i="5"/>
  <c r="S30" i="5" s="1"/>
  <c r="E30" i="5"/>
  <c r="F30" i="5" s="1"/>
  <c r="C31" i="5"/>
  <c r="R31" i="5" l="1"/>
  <c r="L35" i="5" s="1"/>
  <c r="Q31" i="5"/>
  <c r="G30" i="5"/>
  <c r="H30" i="5"/>
  <c r="D31" i="5"/>
  <c r="E31" i="5"/>
  <c r="F31" i="5" s="1"/>
  <c r="L36" i="5" l="1"/>
  <c r="D18" i="6" s="1"/>
  <c r="D19" i="6" s="1"/>
  <c r="D20" i="6" s="1"/>
  <c r="C18" i="6"/>
  <c r="C19" i="6" s="1"/>
  <c r="C20" i="6" s="1"/>
  <c r="L34" i="5"/>
  <c r="B18" i="6" s="1"/>
  <c r="B19" i="6" s="1"/>
  <c r="B20" i="6" s="1"/>
  <c r="S31" i="5"/>
  <c r="L37" i="5" s="1"/>
  <c r="E18" i="6" s="1"/>
  <c r="E19" i="6" s="1"/>
  <c r="E20" i="6" s="1"/>
  <c r="H31" i="5"/>
  <c r="B35" i="5" s="1"/>
  <c r="G31" i="5"/>
  <c r="C7" i="6" l="1"/>
  <c r="C8" i="6" s="1"/>
  <c r="C9" i="6" s="1"/>
  <c r="B36" i="5"/>
  <c r="D7" i="6" s="1"/>
  <c r="D8" i="6" s="1"/>
  <c r="D9" i="6" s="1"/>
  <c r="B34" i="5"/>
  <c r="B7" i="6" s="1"/>
  <c r="B8" i="6" s="1"/>
  <c r="B9" i="6" s="1"/>
  <c r="I31" i="5"/>
  <c r="B37" i="5" s="1"/>
  <c r="E7" i="6" s="1"/>
  <c r="E8" i="6" s="1"/>
  <c r="E9" i="6" s="1"/>
</calcChain>
</file>

<file path=xl/sharedStrings.xml><?xml version="1.0" encoding="utf-8"?>
<sst xmlns="http://schemas.openxmlformats.org/spreadsheetml/2006/main" count="268" uniqueCount="48">
  <si>
    <t>t</t>
  </si>
  <si>
    <t>advert</t>
  </si>
  <si>
    <t>sales</t>
  </si>
  <si>
    <t>Muhammad Alvaro Satria Priyambada</t>
  </si>
  <si>
    <t>M0401241100</t>
  </si>
  <si>
    <t>advert k=3</t>
  </si>
  <si>
    <t>sales k</t>
  </si>
  <si>
    <t>Yt</t>
  </si>
  <si>
    <t>Ft</t>
  </si>
  <si>
    <t>galat (et)</t>
  </si>
  <si>
    <t xml:space="preserve"> MAD</t>
  </si>
  <si>
    <t>MSE</t>
  </si>
  <si>
    <t>MAPE</t>
  </si>
  <si>
    <t>-</t>
  </si>
  <si>
    <t>EVALUASI METRIK ADVERT</t>
  </si>
  <si>
    <t>MAD</t>
  </si>
  <si>
    <t>RMSE</t>
  </si>
  <si>
    <t>orde pemulusan (k) =</t>
  </si>
  <si>
    <t>orde pemulusan =</t>
  </si>
  <si>
    <t>smoothing variabel advert</t>
  </si>
  <si>
    <t>smoothing variabel sales (DMA k = 3)</t>
  </si>
  <si>
    <t>S't</t>
  </si>
  <si>
    <t>S''t</t>
  </si>
  <si>
    <t>at</t>
  </si>
  <si>
    <t>bt</t>
  </si>
  <si>
    <t>et</t>
  </si>
  <si>
    <t>|et|</t>
  </si>
  <si>
    <t>et^2</t>
  </si>
  <si>
    <t>|et|/Yt</t>
  </si>
  <si>
    <t>alpha advert =</t>
  </si>
  <si>
    <t>alpha sales =</t>
  </si>
  <si>
    <t>smoothing variabel advert (SES)</t>
  </si>
  <si>
    <t>smoothing variabel sales</t>
  </si>
  <si>
    <t>alpha advert</t>
  </si>
  <si>
    <t>beta advert</t>
  </si>
  <si>
    <t>smoothing advert</t>
  </si>
  <si>
    <t>smoothing sales</t>
  </si>
  <si>
    <t>Lt</t>
  </si>
  <si>
    <t>Tt</t>
  </si>
  <si>
    <t>A. Evaluasi Data Advert</t>
  </si>
  <si>
    <t>Metode</t>
  </si>
  <si>
    <t>SMA</t>
  </si>
  <si>
    <t>DMA</t>
  </si>
  <si>
    <t>SES</t>
  </si>
  <si>
    <t>DES</t>
  </si>
  <si>
    <t>Nilai minimum</t>
  </si>
  <si>
    <t>Metode terbaik per metrik</t>
  </si>
  <si>
    <t>B. Evaluasi Data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</si>
</sst>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F7"/>
        <bgColor rgb="FFE7E6E6"/>
      </patternFill>
    </fill>
    <fill>
      <patternFill patternType="solid">
        <fgColor rgb="FFE7E6E6"/>
        <bgColor rgb="FFE2F0D9"/>
      </patternFill>
    </fill>
    <fill>
      <patternFill patternType="solid">
        <fgColor rgb="FFFFFF00"/>
        <bgColor rgb="FFE7E6E6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9" fontId="4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2" xfId="0" applyBorder="1"/>
    <xf numFmtId="0" fontId="0" fillId="0" borderId="1" xfId="0" applyBorder="1"/>
    <xf numFmtId="2" fontId="0" fillId="0" borderId="1" xfId="0" applyNumberFormat="1" applyBorder="1"/>
    <xf numFmtId="10" fontId="4" fillId="0" borderId="1" xfId="1" applyNumberFormat="1" applyBorder="1"/>
    <xf numFmtId="0" fontId="2" fillId="0" borderId="0" xfId="0" applyFont="1"/>
    <xf numFmtId="0" fontId="0" fillId="2" borderId="3" xfId="0" applyFill="1" applyBorder="1"/>
    <xf numFmtId="2" fontId="0" fillId="2" borderId="3" xfId="0" applyNumberFormat="1" applyFill="1" applyBorder="1"/>
    <xf numFmtId="0" fontId="0" fillId="2" borderId="0" xfId="0" applyFill="1"/>
    <xf numFmtId="2" fontId="0" fillId="2" borderId="0" xfId="0" applyNumberFormat="1" applyFill="1"/>
    <xf numFmtId="2" fontId="0" fillId="2" borderId="1" xfId="0" applyNumberFormat="1" applyFill="1" applyBorder="1"/>
    <xf numFmtId="10" fontId="0" fillId="2" borderId="1" xfId="0" applyNumberFormat="1" applyFill="1" applyBorder="1"/>
    <xf numFmtId="10" fontId="0" fillId="2" borderId="0" xfId="0" applyNumberFormat="1" applyFill="1"/>
    <xf numFmtId="0" fontId="0" fillId="0" borderId="4" xfId="0" applyBorder="1"/>
    <xf numFmtId="2" fontId="0" fillId="0" borderId="5" xfId="0" applyNumberFormat="1" applyBorder="1"/>
    <xf numFmtId="10" fontId="4" fillId="0" borderId="5" xfId="1" applyNumberFormat="1" applyBorder="1"/>
    <xf numFmtId="2" fontId="0" fillId="0" borderId="6" xfId="0" applyNumberFormat="1" applyBorder="1"/>
    <xf numFmtId="2" fontId="0" fillId="0" borderId="0" xfId="0" applyNumberFormat="1"/>
    <xf numFmtId="10" fontId="4" fillId="0" borderId="0" xfId="1" applyNumberFormat="1"/>
    <xf numFmtId="2" fontId="3" fillId="0" borderId="1" xfId="0" applyNumberFormat="1" applyFont="1" applyBorder="1" applyAlignment="1">
      <alignment horizontal="right" vertical="center"/>
    </xf>
    <xf numFmtId="9" fontId="4" fillId="0" borderId="1" xfId="1" applyBorder="1"/>
    <xf numFmtId="0" fontId="5" fillId="3" borderId="7" xfId="0" applyFont="1" applyFill="1" applyBorder="1" applyAlignment="1">
      <alignment horizontal="center"/>
    </xf>
    <xf numFmtId="0" fontId="1" fillId="0" borderId="7" xfId="0" applyFont="1" applyBorder="1"/>
    <xf numFmtId="164" fontId="1" fillId="0" borderId="7" xfId="0" applyNumberFormat="1" applyFont="1" applyBorder="1"/>
    <xf numFmtId="0" fontId="5" fillId="0" borderId="0" xfId="0" applyFont="1"/>
    <xf numFmtId="0" fontId="5" fillId="0" borderId="0" xfId="0" applyFont="1" applyAlignment="1"/>
    <xf numFmtId="0" fontId="1" fillId="0" borderId="0" xfId="0" applyFont="1"/>
    <xf numFmtId="0" fontId="5" fillId="4" borderId="7" xfId="0" applyFont="1" applyFill="1" applyBorder="1"/>
    <xf numFmtId="164" fontId="1" fillId="4" borderId="7" xfId="0" applyNumberFormat="1" applyFont="1" applyFill="1" applyBorder="1"/>
    <xf numFmtId="0" fontId="5" fillId="5" borderId="7" xfId="0" applyFont="1" applyFill="1" applyBorder="1"/>
    <xf numFmtId="0" fontId="1" fillId="5" borderId="7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Normal="100" workbookViewId="0">
      <selection activeCell="E4" sqref="E4"/>
    </sheetView>
  </sheetViews>
  <sheetFormatPr defaultColWidth="8.6640625" defaultRowHeight="14.25" customHeight="1" x14ac:dyDescent="0.3"/>
  <cols>
    <col min="5" max="5" width="32.109375" customWidth="1"/>
  </cols>
  <sheetData>
    <row r="1" spans="1:5" x14ac:dyDescent="0.3">
      <c r="A1" s="3" t="s">
        <v>0</v>
      </c>
      <c r="B1" s="3" t="s">
        <v>1</v>
      </c>
      <c r="C1" s="3" t="s">
        <v>2</v>
      </c>
      <c r="E1" s="4" t="s">
        <v>3</v>
      </c>
    </row>
    <row r="2" spans="1:5" x14ac:dyDescent="0.3">
      <c r="A2" s="5">
        <v>1</v>
      </c>
      <c r="B2" s="5">
        <v>25</v>
      </c>
      <c r="C2" s="5">
        <v>92.8</v>
      </c>
      <c r="E2" t="s">
        <v>4</v>
      </c>
    </row>
    <row r="3" spans="1:5" x14ac:dyDescent="0.3">
      <c r="A3" s="5">
        <v>2</v>
      </c>
      <c r="B3" s="5">
        <v>0</v>
      </c>
      <c r="C3" s="5">
        <v>79.2</v>
      </c>
    </row>
    <row r="4" spans="1:5" x14ac:dyDescent="0.3">
      <c r="A4" s="5">
        <v>3</v>
      </c>
      <c r="B4" s="5">
        <v>15</v>
      </c>
      <c r="C4" s="5">
        <v>84.5</v>
      </c>
    </row>
    <row r="5" spans="1:5" x14ac:dyDescent="0.3">
      <c r="A5" s="5">
        <v>4</v>
      </c>
      <c r="B5" s="5">
        <v>10</v>
      </c>
      <c r="C5" s="5">
        <v>83</v>
      </c>
    </row>
    <row r="6" spans="1:5" x14ac:dyDescent="0.3">
      <c r="A6" s="5">
        <v>5</v>
      </c>
      <c r="B6" s="5">
        <v>20</v>
      </c>
      <c r="C6" s="5">
        <v>88.1</v>
      </c>
    </row>
    <row r="7" spans="1:5" x14ac:dyDescent="0.3">
      <c r="A7" s="5">
        <v>6</v>
      </c>
      <c r="B7" s="5">
        <v>10</v>
      </c>
      <c r="C7" s="5">
        <v>83.9</v>
      </c>
    </row>
    <row r="8" spans="1:5" x14ac:dyDescent="0.3">
      <c r="A8" s="5">
        <v>7</v>
      </c>
      <c r="B8" s="5">
        <v>5</v>
      </c>
      <c r="C8" s="5">
        <v>79.900000000000006</v>
      </c>
    </row>
    <row r="9" spans="1:5" x14ac:dyDescent="0.3">
      <c r="A9" s="5">
        <v>8</v>
      </c>
      <c r="B9" s="5">
        <v>5</v>
      </c>
      <c r="C9" s="5">
        <v>81.099999999999994</v>
      </c>
    </row>
    <row r="10" spans="1:5" x14ac:dyDescent="0.3">
      <c r="A10" s="5">
        <v>9</v>
      </c>
      <c r="B10" s="5">
        <v>15</v>
      </c>
      <c r="C10" s="5">
        <v>86.4</v>
      </c>
    </row>
    <row r="11" spans="1:5" x14ac:dyDescent="0.3">
      <c r="A11" s="5">
        <v>10</v>
      </c>
      <c r="B11" s="5">
        <v>15</v>
      </c>
      <c r="C11" s="5">
        <v>86.3</v>
      </c>
    </row>
    <row r="12" spans="1:5" x14ac:dyDescent="0.3">
      <c r="A12" s="5">
        <v>11</v>
      </c>
      <c r="B12" s="5">
        <v>5</v>
      </c>
      <c r="C12" s="5">
        <v>81.900000000000006</v>
      </c>
    </row>
    <row r="13" spans="1:5" x14ac:dyDescent="0.3">
      <c r="A13" s="5">
        <v>12</v>
      </c>
      <c r="B13" s="5">
        <v>20</v>
      </c>
      <c r="C13" s="5">
        <v>90.6</v>
      </c>
    </row>
    <row r="14" spans="1:5" x14ac:dyDescent="0.3">
      <c r="A14" s="5">
        <v>13</v>
      </c>
      <c r="B14" s="5">
        <v>15</v>
      </c>
      <c r="C14" s="5">
        <v>91.4</v>
      </c>
    </row>
    <row r="15" spans="1:5" x14ac:dyDescent="0.3">
      <c r="A15" s="5">
        <v>14</v>
      </c>
      <c r="B15" s="5">
        <v>5</v>
      </c>
      <c r="C15" s="5">
        <v>88.5</v>
      </c>
    </row>
    <row r="16" spans="1:5" x14ac:dyDescent="0.3">
      <c r="A16" s="5">
        <v>15</v>
      </c>
      <c r="B16" s="5">
        <v>10</v>
      </c>
      <c r="C16" s="5">
        <v>93.5</v>
      </c>
    </row>
    <row r="17" spans="1:3" x14ac:dyDescent="0.3">
      <c r="A17" s="5">
        <v>16</v>
      </c>
      <c r="B17" s="5">
        <v>25</v>
      </c>
      <c r="C17" s="5">
        <v>105</v>
      </c>
    </row>
    <row r="18" spans="1:3" x14ac:dyDescent="0.3">
      <c r="A18" s="5">
        <v>17</v>
      </c>
      <c r="B18" s="5">
        <v>15</v>
      </c>
      <c r="C18" s="5">
        <v>103.5</v>
      </c>
    </row>
    <row r="19" spans="1:3" x14ac:dyDescent="0.3">
      <c r="A19" s="5">
        <v>18</v>
      </c>
      <c r="B19" s="5">
        <v>5</v>
      </c>
      <c r="C19" s="5">
        <v>99.6</v>
      </c>
    </row>
    <row r="20" spans="1:3" x14ac:dyDescent="0.3">
      <c r="A20" s="5">
        <v>19</v>
      </c>
      <c r="B20" s="5">
        <v>15</v>
      </c>
      <c r="C20" s="5">
        <v>107.1</v>
      </c>
    </row>
    <row r="21" spans="1:3" x14ac:dyDescent="0.3">
      <c r="A21" s="5">
        <v>20</v>
      </c>
      <c r="B21" s="5">
        <v>20</v>
      </c>
      <c r="C21" s="5">
        <v>110.9</v>
      </c>
    </row>
    <row r="22" spans="1:3" x14ac:dyDescent="0.3">
      <c r="A22" s="5">
        <v>21</v>
      </c>
      <c r="B22" s="5">
        <v>25</v>
      </c>
      <c r="C22" s="5">
        <v>114.7</v>
      </c>
    </row>
    <row r="23" spans="1:3" x14ac:dyDescent="0.3">
      <c r="A23" s="5">
        <v>22</v>
      </c>
      <c r="B23" s="5">
        <v>15</v>
      </c>
      <c r="C23" s="5">
        <v>112.1</v>
      </c>
    </row>
    <row r="24" spans="1:3" x14ac:dyDescent="0.3">
      <c r="A24" s="5">
        <v>23</v>
      </c>
      <c r="B24" s="5">
        <v>0</v>
      </c>
      <c r="C24" s="5">
        <v>105.5</v>
      </c>
    </row>
    <row r="25" spans="1:3" x14ac:dyDescent="0.3">
      <c r="A25" s="5">
        <v>24</v>
      </c>
      <c r="B25" s="5">
        <v>5</v>
      </c>
      <c r="C25" s="5">
        <v>110.9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4"/>
  <sheetViews>
    <sheetView topLeftCell="E9" zoomScaleNormal="100" workbookViewId="0">
      <selection activeCell="L34" sqref="L34"/>
    </sheetView>
  </sheetViews>
  <sheetFormatPr defaultColWidth="8.6640625" defaultRowHeight="14.25" customHeight="1" x14ac:dyDescent="0.3"/>
  <cols>
    <col min="10" max="10" width="16.6640625" customWidth="1"/>
    <col min="11" max="11" width="8" customWidth="1"/>
  </cols>
  <sheetData>
    <row r="1" spans="1:19" x14ac:dyDescent="0.3">
      <c r="A1" s="3" t="s">
        <v>0</v>
      </c>
      <c r="B1" s="3" t="s">
        <v>1</v>
      </c>
      <c r="C1" s="3" t="s">
        <v>2</v>
      </c>
      <c r="E1" s="4" t="s">
        <v>5</v>
      </c>
      <c r="M1" t="s">
        <v>6</v>
      </c>
    </row>
    <row r="2" spans="1:19" x14ac:dyDescent="0.3">
      <c r="A2" s="5">
        <v>1</v>
      </c>
      <c r="B2" s="6">
        <v>25</v>
      </c>
      <c r="C2" s="5">
        <v>92.8</v>
      </c>
    </row>
    <row r="3" spans="1:19" x14ac:dyDescent="0.3">
      <c r="A3" s="5">
        <v>2</v>
      </c>
      <c r="B3" s="6">
        <v>0</v>
      </c>
      <c r="C3" s="5">
        <v>79.2</v>
      </c>
      <c r="E3" s="3" t="s">
        <v>0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M3" s="3" t="s">
        <v>0</v>
      </c>
      <c r="N3" s="3" t="s">
        <v>7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5">
        <v>3</v>
      </c>
      <c r="B4" s="6">
        <v>15</v>
      </c>
      <c r="C4" s="5">
        <v>84.5</v>
      </c>
      <c r="E4" s="5">
        <v>1</v>
      </c>
      <c r="F4" s="6">
        <v>25</v>
      </c>
      <c r="G4" s="5" t="s">
        <v>13</v>
      </c>
      <c r="H4" s="5" t="s">
        <v>13</v>
      </c>
      <c r="I4" s="5" t="s">
        <v>13</v>
      </c>
      <c r="J4" s="5" t="s">
        <v>13</v>
      </c>
      <c r="K4" s="5" t="s">
        <v>13</v>
      </c>
      <c r="M4" s="5">
        <v>1</v>
      </c>
      <c r="N4" s="5">
        <v>92.8</v>
      </c>
      <c r="O4" s="5" t="s">
        <v>13</v>
      </c>
      <c r="P4" s="5" t="s">
        <v>13</v>
      </c>
      <c r="Q4" s="5" t="s">
        <v>13</v>
      </c>
      <c r="R4" s="5" t="s">
        <v>13</v>
      </c>
      <c r="S4" s="5" t="s">
        <v>13</v>
      </c>
    </row>
    <row r="5" spans="1:19" x14ac:dyDescent="0.3">
      <c r="A5" s="5">
        <v>4</v>
      </c>
      <c r="B5" s="6">
        <v>10</v>
      </c>
      <c r="C5" s="5">
        <v>83</v>
      </c>
      <c r="E5" s="5">
        <v>2</v>
      </c>
      <c r="F5" s="6">
        <v>0</v>
      </c>
      <c r="G5" s="5" t="s">
        <v>13</v>
      </c>
      <c r="H5" s="5" t="s">
        <v>13</v>
      </c>
      <c r="I5" s="5" t="s">
        <v>13</v>
      </c>
      <c r="J5" s="5" t="s">
        <v>13</v>
      </c>
      <c r="K5" s="5" t="s">
        <v>13</v>
      </c>
      <c r="M5" s="5">
        <v>2</v>
      </c>
      <c r="N5" s="5">
        <v>79.2</v>
      </c>
      <c r="O5" s="5" t="s">
        <v>13</v>
      </c>
      <c r="P5" s="5" t="s">
        <v>13</v>
      </c>
      <c r="Q5" s="5" t="s">
        <v>13</v>
      </c>
      <c r="R5" s="5" t="s">
        <v>13</v>
      </c>
      <c r="S5" s="5" t="s">
        <v>13</v>
      </c>
    </row>
    <row r="6" spans="1:19" x14ac:dyDescent="0.3">
      <c r="A6" s="5">
        <v>5</v>
      </c>
      <c r="B6" s="6">
        <v>20</v>
      </c>
      <c r="C6" s="5">
        <v>88.1</v>
      </c>
      <c r="E6" s="5">
        <v>3</v>
      </c>
      <c r="F6" s="6">
        <v>15</v>
      </c>
      <c r="G6" s="5" t="s">
        <v>13</v>
      </c>
      <c r="H6" s="5" t="s">
        <v>13</v>
      </c>
      <c r="I6" s="5" t="s">
        <v>13</v>
      </c>
      <c r="J6" s="5" t="s">
        <v>13</v>
      </c>
      <c r="K6" s="5" t="s">
        <v>13</v>
      </c>
      <c r="M6" s="5">
        <v>3</v>
      </c>
      <c r="N6" s="5">
        <v>84.5</v>
      </c>
      <c r="O6" s="5" t="s">
        <v>13</v>
      </c>
      <c r="P6" s="5" t="s">
        <v>13</v>
      </c>
      <c r="Q6" s="5" t="s">
        <v>13</v>
      </c>
      <c r="R6" s="5" t="s">
        <v>13</v>
      </c>
      <c r="S6" s="5" t="s">
        <v>13</v>
      </c>
    </row>
    <row r="7" spans="1:19" x14ac:dyDescent="0.3">
      <c r="A7" s="5">
        <v>6</v>
      </c>
      <c r="B7" s="6">
        <v>10</v>
      </c>
      <c r="C7" s="5">
        <v>83.9</v>
      </c>
      <c r="E7" s="5">
        <v>4</v>
      </c>
      <c r="F7" s="6">
        <v>10</v>
      </c>
      <c r="G7" s="6">
        <f t="shared" ref="G7:G27" si="0">AVERAGE(F4:F6)</f>
        <v>13.333333333333334</v>
      </c>
      <c r="H7" s="6">
        <f t="shared" ref="H7:H27" si="1">G7-F7</f>
        <v>3.3333333333333339</v>
      </c>
      <c r="I7" s="6">
        <f t="shared" ref="I7:I27" si="2">ABS(H7)</f>
        <v>3.3333333333333339</v>
      </c>
      <c r="J7" s="6">
        <f t="shared" ref="J7:J27" si="3">H7^2</f>
        <v>11.111111111111114</v>
      </c>
      <c r="K7" s="7">
        <f t="shared" ref="K7:K27" si="4">IF(F7=0,"",I7/F7)</f>
        <v>0.33333333333333337</v>
      </c>
      <c r="M7" s="5">
        <v>4</v>
      </c>
      <c r="N7" s="5">
        <v>83</v>
      </c>
      <c r="O7" s="6">
        <f t="shared" ref="O7:O27" si="5">AVERAGE(N4:N6)</f>
        <v>85.5</v>
      </c>
      <c r="P7" s="6">
        <f t="shared" ref="P7:P27" si="6">N7-O7</f>
        <v>-2.5</v>
      </c>
      <c r="Q7" s="6">
        <f t="shared" ref="Q7:Q27" si="7">ABS(P7)</f>
        <v>2.5</v>
      </c>
      <c r="R7" s="6">
        <f t="shared" ref="R7:R27" si="8">P7^2</f>
        <v>6.25</v>
      </c>
      <c r="S7" s="7">
        <f t="shared" ref="S7:S27" si="9">Q7/N7</f>
        <v>3.0120481927710843E-2</v>
      </c>
    </row>
    <row r="8" spans="1:19" x14ac:dyDescent="0.3">
      <c r="A8" s="5">
        <v>7</v>
      </c>
      <c r="B8" s="6">
        <v>5</v>
      </c>
      <c r="C8" s="5">
        <v>79.900000000000006</v>
      </c>
      <c r="E8" s="5">
        <v>5</v>
      </c>
      <c r="F8" s="6">
        <v>20</v>
      </c>
      <c r="G8" s="6">
        <f t="shared" si="0"/>
        <v>8.3333333333333339</v>
      </c>
      <c r="H8" s="6">
        <f t="shared" si="1"/>
        <v>-11.666666666666666</v>
      </c>
      <c r="I8" s="6">
        <f t="shared" si="2"/>
        <v>11.666666666666666</v>
      </c>
      <c r="J8" s="6">
        <f t="shared" si="3"/>
        <v>136.11111111111109</v>
      </c>
      <c r="K8" s="7">
        <f t="shared" si="4"/>
        <v>0.58333333333333326</v>
      </c>
      <c r="M8" s="5">
        <v>5</v>
      </c>
      <c r="N8" s="5">
        <v>88.1</v>
      </c>
      <c r="O8" s="6">
        <f t="shared" si="5"/>
        <v>82.233333333333334</v>
      </c>
      <c r="P8" s="6">
        <f t="shared" si="6"/>
        <v>5.86666666666666</v>
      </c>
      <c r="Q8" s="6">
        <f t="shared" si="7"/>
        <v>5.86666666666666</v>
      </c>
      <c r="R8" s="6">
        <f t="shared" si="8"/>
        <v>34.417777777777701</v>
      </c>
      <c r="S8" s="7">
        <f t="shared" si="9"/>
        <v>6.6590995081346888E-2</v>
      </c>
    </row>
    <row r="9" spans="1:19" x14ac:dyDescent="0.3">
      <c r="A9" s="5">
        <v>8</v>
      </c>
      <c r="B9" s="6">
        <v>5</v>
      </c>
      <c r="C9" s="5">
        <v>81.099999999999994</v>
      </c>
      <c r="E9" s="5">
        <v>6</v>
      </c>
      <c r="F9" s="6">
        <v>10</v>
      </c>
      <c r="G9" s="6">
        <f t="shared" si="0"/>
        <v>15</v>
      </c>
      <c r="H9" s="6">
        <f t="shared" si="1"/>
        <v>5</v>
      </c>
      <c r="I9" s="6">
        <f t="shared" si="2"/>
        <v>5</v>
      </c>
      <c r="J9" s="6">
        <f t="shared" si="3"/>
        <v>25</v>
      </c>
      <c r="K9" s="7">
        <f t="shared" si="4"/>
        <v>0.5</v>
      </c>
      <c r="M9" s="5">
        <v>6</v>
      </c>
      <c r="N9" s="5">
        <v>83.9</v>
      </c>
      <c r="O9" s="6">
        <f t="shared" si="5"/>
        <v>85.2</v>
      </c>
      <c r="P9" s="6">
        <f t="shared" si="6"/>
        <v>-1.2999999999999972</v>
      </c>
      <c r="Q9" s="6">
        <f t="shared" si="7"/>
        <v>1.2999999999999972</v>
      </c>
      <c r="R9" s="6">
        <f t="shared" si="8"/>
        <v>1.6899999999999926</v>
      </c>
      <c r="S9" s="7">
        <f t="shared" si="9"/>
        <v>1.549463647199043E-2</v>
      </c>
    </row>
    <row r="10" spans="1:19" x14ac:dyDescent="0.3">
      <c r="A10" s="5">
        <v>9</v>
      </c>
      <c r="B10" s="6">
        <v>15</v>
      </c>
      <c r="C10" s="5">
        <v>86.4</v>
      </c>
      <c r="E10" s="5">
        <v>7</v>
      </c>
      <c r="F10" s="6">
        <v>5</v>
      </c>
      <c r="G10" s="6">
        <f t="shared" si="0"/>
        <v>13.333333333333334</v>
      </c>
      <c r="H10" s="6">
        <f t="shared" si="1"/>
        <v>8.3333333333333339</v>
      </c>
      <c r="I10" s="6">
        <f t="shared" si="2"/>
        <v>8.3333333333333339</v>
      </c>
      <c r="J10" s="6">
        <f t="shared" si="3"/>
        <v>69.444444444444457</v>
      </c>
      <c r="K10" s="7">
        <f t="shared" si="4"/>
        <v>1.6666666666666667</v>
      </c>
      <c r="M10" s="5">
        <v>7</v>
      </c>
      <c r="N10" s="5">
        <v>79.900000000000006</v>
      </c>
      <c r="O10" s="6">
        <f t="shared" si="5"/>
        <v>85</v>
      </c>
      <c r="P10" s="6">
        <f t="shared" si="6"/>
        <v>-5.0999999999999943</v>
      </c>
      <c r="Q10" s="6">
        <f t="shared" si="7"/>
        <v>5.0999999999999943</v>
      </c>
      <c r="R10" s="6">
        <f t="shared" si="8"/>
        <v>26.009999999999941</v>
      </c>
      <c r="S10" s="7">
        <f t="shared" si="9"/>
        <v>6.3829787234042479E-2</v>
      </c>
    </row>
    <row r="11" spans="1:19" x14ac:dyDescent="0.3">
      <c r="A11" s="5">
        <v>10</v>
      </c>
      <c r="B11" s="6">
        <v>15</v>
      </c>
      <c r="C11" s="5">
        <v>86.3</v>
      </c>
      <c r="E11" s="5">
        <v>8</v>
      </c>
      <c r="F11" s="6">
        <v>5</v>
      </c>
      <c r="G11" s="6">
        <f t="shared" si="0"/>
        <v>11.666666666666666</v>
      </c>
      <c r="H11" s="6">
        <f t="shared" si="1"/>
        <v>6.6666666666666661</v>
      </c>
      <c r="I11" s="6">
        <f t="shared" si="2"/>
        <v>6.6666666666666661</v>
      </c>
      <c r="J11" s="6">
        <f t="shared" si="3"/>
        <v>44.444444444444436</v>
      </c>
      <c r="K11" s="7">
        <f t="shared" si="4"/>
        <v>1.3333333333333333</v>
      </c>
      <c r="M11" s="5">
        <v>8</v>
      </c>
      <c r="N11" s="5">
        <v>81.099999999999994</v>
      </c>
      <c r="O11" s="6">
        <f t="shared" si="5"/>
        <v>83.966666666666669</v>
      </c>
      <c r="P11" s="6">
        <f t="shared" si="6"/>
        <v>-2.8666666666666742</v>
      </c>
      <c r="Q11" s="6">
        <f t="shared" si="7"/>
        <v>2.8666666666666742</v>
      </c>
      <c r="R11" s="6">
        <f t="shared" si="8"/>
        <v>8.2177777777778207</v>
      </c>
      <c r="S11" s="7">
        <f t="shared" si="9"/>
        <v>3.5347307850390558E-2</v>
      </c>
    </row>
    <row r="12" spans="1:19" x14ac:dyDescent="0.3">
      <c r="A12" s="5">
        <v>11</v>
      </c>
      <c r="B12" s="6">
        <v>5</v>
      </c>
      <c r="C12" s="5">
        <v>81.900000000000006</v>
      </c>
      <c r="E12" s="5">
        <v>9</v>
      </c>
      <c r="F12" s="6">
        <v>15</v>
      </c>
      <c r="G12" s="6">
        <f t="shared" si="0"/>
        <v>6.666666666666667</v>
      </c>
      <c r="H12" s="6">
        <f t="shared" si="1"/>
        <v>-8.3333333333333321</v>
      </c>
      <c r="I12" s="6">
        <f t="shared" si="2"/>
        <v>8.3333333333333321</v>
      </c>
      <c r="J12" s="6">
        <f t="shared" si="3"/>
        <v>69.444444444444429</v>
      </c>
      <c r="K12" s="7">
        <f t="shared" si="4"/>
        <v>0.55555555555555547</v>
      </c>
      <c r="M12" s="5">
        <v>9</v>
      </c>
      <c r="N12" s="5">
        <v>86.4</v>
      </c>
      <c r="O12" s="6">
        <f t="shared" si="5"/>
        <v>81.63333333333334</v>
      </c>
      <c r="P12" s="6">
        <f t="shared" si="6"/>
        <v>4.7666666666666657</v>
      </c>
      <c r="Q12" s="6">
        <f t="shared" si="7"/>
        <v>4.7666666666666657</v>
      </c>
      <c r="R12" s="6">
        <f t="shared" si="8"/>
        <v>22.721111111111103</v>
      </c>
      <c r="S12" s="7">
        <f t="shared" si="9"/>
        <v>5.5169753086419741E-2</v>
      </c>
    </row>
    <row r="13" spans="1:19" x14ac:dyDescent="0.3">
      <c r="A13" s="5">
        <v>12</v>
      </c>
      <c r="B13" s="6">
        <v>20</v>
      </c>
      <c r="C13" s="5">
        <v>90.6</v>
      </c>
      <c r="E13" s="5">
        <v>10</v>
      </c>
      <c r="F13" s="6">
        <v>15</v>
      </c>
      <c r="G13" s="6">
        <f t="shared" si="0"/>
        <v>8.3333333333333339</v>
      </c>
      <c r="H13" s="6">
        <f t="shared" si="1"/>
        <v>-6.6666666666666661</v>
      </c>
      <c r="I13" s="6">
        <f t="shared" si="2"/>
        <v>6.6666666666666661</v>
      </c>
      <c r="J13" s="6">
        <f t="shared" si="3"/>
        <v>44.444444444444436</v>
      </c>
      <c r="K13" s="7">
        <f t="shared" si="4"/>
        <v>0.44444444444444442</v>
      </c>
      <c r="M13" s="5">
        <v>10</v>
      </c>
      <c r="N13" s="5">
        <v>86.3</v>
      </c>
      <c r="O13" s="6">
        <f t="shared" si="5"/>
        <v>82.466666666666669</v>
      </c>
      <c r="P13" s="6">
        <f t="shared" si="6"/>
        <v>3.8333333333333286</v>
      </c>
      <c r="Q13" s="6">
        <f t="shared" si="7"/>
        <v>3.8333333333333286</v>
      </c>
      <c r="R13" s="6">
        <f t="shared" si="8"/>
        <v>14.694444444444407</v>
      </c>
      <c r="S13" s="7">
        <f t="shared" si="9"/>
        <v>4.4418694476631854E-2</v>
      </c>
    </row>
    <row r="14" spans="1:19" x14ac:dyDescent="0.3">
      <c r="A14" s="5">
        <v>13</v>
      </c>
      <c r="B14" s="6">
        <v>15</v>
      </c>
      <c r="C14" s="5">
        <v>91.4</v>
      </c>
      <c r="E14" s="5">
        <v>11</v>
      </c>
      <c r="F14" s="6">
        <v>5</v>
      </c>
      <c r="G14" s="6">
        <f t="shared" si="0"/>
        <v>11.666666666666666</v>
      </c>
      <c r="H14" s="6">
        <f t="shared" si="1"/>
        <v>6.6666666666666661</v>
      </c>
      <c r="I14" s="6">
        <f t="shared" si="2"/>
        <v>6.6666666666666661</v>
      </c>
      <c r="J14" s="6">
        <f t="shared" si="3"/>
        <v>44.444444444444436</v>
      </c>
      <c r="K14" s="7">
        <f t="shared" si="4"/>
        <v>1.3333333333333333</v>
      </c>
      <c r="M14" s="5">
        <v>11</v>
      </c>
      <c r="N14" s="5">
        <v>81.900000000000006</v>
      </c>
      <c r="O14" s="6">
        <f t="shared" si="5"/>
        <v>84.600000000000009</v>
      </c>
      <c r="P14" s="6">
        <f t="shared" si="6"/>
        <v>-2.7000000000000028</v>
      </c>
      <c r="Q14" s="6">
        <f t="shared" si="7"/>
        <v>2.7000000000000028</v>
      </c>
      <c r="R14" s="6">
        <f t="shared" si="8"/>
        <v>7.2900000000000151</v>
      </c>
      <c r="S14" s="7">
        <f t="shared" si="9"/>
        <v>3.2967032967033003E-2</v>
      </c>
    </row>
    <row r="15" spans="1:19" x14ac:dyDescent="0.3">
      <c r="A15" s="5">
        <v>14</v>
      </c>
      <c r="B15" s="6">
        <v>5</v>
      </c>
      <c r="C15" s="5">
        <v>88.5</v>
      </c>
      <c r="E15" s="5">
        <v>12</v>
      </c>
      <c r="F15" s="6">
        <v>20</v>
      </c>
      <c r="G15" s="6">
        <f t="shared" si="0"/>
        <v>11.666666666666666</v>
      </c>
      <c r="H15" s="6">
        <f t="shared" si="1"/>
        <v>-8.3333333333333339</v>
      </c>
      <c r="I15" s="6">
        <f t="shared" si="2"/>
        <v>8.3333333333333339</v>
      </c>
      <c r="J15" s="6">
        <f t="shared" si="3"/>
        <v>69.444444444444457</v>
      </c>
      <c r="K15" s="7">
        <f t="shared" si="4"/>
        <v>0.41666666666666669</v>
      </c>
      <c r="M15" s="5">
        <v>12</v>
      </c>
      <c r="N15" s="5">
        <v>90.6</v>
      </c>
      <c r="O15" s="6">
        <f t="shared" si="5"/>
        <v>84.86666666666666</v>
      </c>
      <c r="P15" s="6">
        <f t="shared" si="6"/>
        <v>5.7333333333333343</v>
      </c>
      <c r="Q15" s="6">
        <f t="shared" si="7"/>
        <v>5.7333333333333343</v>
      </c>
      <c r="R15" s="6">
        <f t="shared" si="8"/>
        <v>32.871111111111119</v>
      </c>
      <c r="S15" s="7">
        <f t="shared" si="9"/>
        <v>6.3281824871228853E-2</v>
      </c>
    </row>
    <row r="16" spans="1:19" x14ac:dyDescent="0.3">
      <c r="A16" s="5">
        <v>15</v>
      </c>
      <c r="B16" s="6">
        <v>10</v>
      </c>
      <c r="C16" s="5">
        <v>93.5</v>
      </c>
      <c r="E16" s="5">
        <v>13</v>
      </c>
      <c r="F16" s="6">
        <v>15</v>
      </c>
      <c r="G16" s="6">
        <f t="shared" si="0"/>
        <v>13.333333333333334</v>
      </c>
      <c r="H16" s="6">
        <f t="shared" si="1"/>
        <v>-1.6666666666666661</v>
      </c>
      <c r="I16" s="6">
        <f t="shared" si="2"/>
        <v>1.6666666666666661</v>
      </c>
      <c r="J16" s="6">
        <f t="shared" si="3"/>
        <v>2.7777777777777759</v>
      </c>
      <c r="K16" s="7">
        <f t="shared" si="4"/>
        <v>0.11111111111111108</v>
      </c>
      <c r="M16" s="5">
        <v>13</v>
      </c>
      <c r="N16" s="5">
        <v>91.4</v>
      </c>
      <c r="O16" s="6">
        <f t="shared" si="5"/>
        <v>86.266666666666652</v>
      </c>
      <c r="P16" s="6">
        <f t="shared" si="6"/>
        <v>5.1333333333333542</v>
      </c>
      <c r="Q16" s="6">
        <f t="shared" si="7"/>
        <v>5.1333333333333542</v>
      </c>
      <c r="R16" s="6">
        <f t="shared" si="8"/>
        <v>26.351111111111326</v>
      </c>
      <c r="S16" s="7">
        <f t="shared" si="9"/>
        <v>5.616338439095573E-2</v>
      </c>
    </row>
    <row r="17" spans="1:19" x14ac:dyDescent="0.3">
      <c r="A17" s="5">
        <v>16</v>
      </c>
      <c r="B17" s="6">
        <v>25</v>
      </c>
      <c r="C17" s="5">
        <v>105</v>
      </c>
      <c r="E17" s="5">
        <v>14</v>
      </c>
      <c r="F17" s="6">
        <v>5</v>
      </c>
      <c r="G17" s="6">
        <f t="shared" si="0"/>
        <v>13.333333333333334</v>
      </c>
      <c r="H17" s="6">
        <f t="shared" si="1"/>
        <v>8.3333333333333339</v>
      </c>
      <c r="I17" s="6">
        <f t="shared" si="2"/>
        <v>8.3333333333333339</v>
      </c>
      <c r="J17" s="6">
        <f t="shared" si="3"/>
        <v>69.444444444444457</v>
      </c>
      <c r="K17" s="7">
        <f t="shared" si="4"/>
        <v>1.6666666666666667</v>
      </c>
      <c r="M17" s="5">
        <v>14</v>
      </c>
      <c r="N17" s="5">
        <v>88.5</v>
      </c>
      <c r="O17" s="6">
        <f t="shared" si="5"/>
        <v>87.966666666666654</v>
      </c>
      <c r="P17" s="6">
        <f t="shared" si="6"/>
        <v>0.53333333333334565</v>
      </c>
      <c r="Q17" s="6">
        <f t="shared" si="7"/>
        <v>0.53333333333334565</v>
      </c>
      <c r="R17" s="6">
        <f t="shared" si="8"/>
        <v>0.2844444444444576</v>
      </c>
      <c r="S17" s="7">
        <f t="shared" si="9"/>
        <v>6.0263653483993863E-3</v>
      </c>
    </row>
    <row r="18" spans="1:19" x14ac:dyDescent="0.3">
      <c r="A18" s="5">
        <v>17</v>
      </c>
      <c r="B18" s="6">
        <v>15</v>
      </c>
      <c r="C18" s="5">
        <v>103.5</v>
      </c>
      <c r="E18" s="5">
        <v>15</v>
      </c>
      <c r="F18" s="6">
        <v>10</v>
      </c>
      <c r="G18" s="6">
        <f t="shared" si="0"/>
        <v>13.333333333333334</v>
      </c>
      <c r="H18" s="6">
        <f t="shared" si="1"/>
        <v>3.3333333333333339</v>
      </c>
      <c r="I18" s="6">
        <f t="shared" si="2"/>
        <v>3.3333333333333339</v>
      </c>
      <c r="J18" s="6">
        <f t="shared" si="3"/>
        <v>11.111111111111114</v>
      </c>
      <c r="K18" s="7">
        <f t="shared" si="4"/>
        <v>0.33333333333333337</v>
      </c>
      <c r="M18" s="5">
        <v>15</v>
      </c>
      <c r="N18" s="5">
        <v>93.5</v>
      </c>
      <c r="O18" s="6">
        <f t="shared" si="5"/>
        <v>90.166666666666671</v>
      </c>
      <c r="P18" s="6">
        <f t="shared" si="6"/>
        <v>3.3333333333333286</v>
      </c>
      <c r="Q18" s="6">
        <f t="shared" si="7"/>
        <v>3.3333333333333286</v>
      </c>
      <c r="R18" s="6">
        <f t="shared" si="8"/>
        <v>11.111111111111079</v>
      </c>
      <c r="S18" s="7">
        <f t="shared" si="9"/>
        <v>3.5650623885917949E-2</v>
      </c>
    </row>
    <row r="19" spans="1:19" x14ac:dyDescent="0.3">
      <c r="A19" s="5">
        <v>18</v>
      </c>
      <c r="B19" s="6">
        <v>5</v>
      </c>
      <c r="C19" s="5">
        <v>99.6</v>
      </c>
      <c r="E19" s="5">
        <v>16</v>
      </c>
      <c r="F19" s="6">
        <v>25</v>
      </c>
      <c r="G19" s="6">
        <f t="shared" si="0"/>
        <v>10</v>
      </c>
      <c r="H19" s="6">
        <f t="shared" si="1"/>
        <v>-15</v>
      </c>
      <c r="I19" s="6">
        <f t="shared" si="2"/>
        <v>15</v>
      </c>
      <c r="J19" s="6">
        <f t="shared" si="3"/>
        <v>225</v>
      </c>
      <c r="K19" s="7">
        <f t="shared" si="4"/>
        <v>0.6</v>
      </c>
      <c r="M19" s="5">
        <v>16</v>
      </c>
      <c r="N19" s="5">
        <v>105</v>
      </c>
      <c r="O19" s="6">
        <f t="shared" si="5"/>
        <v>91.133333333333326</v>
      </c>
      <c r="P19" s="6">
        <f t="shared" si="6"/>
        <v>13.866666666666674</v>
      </c>
      <c r="Q19" s="6">
        <f t="shared" si="7"/>
        <v>13.866666666666674</v>
      </c>
      <c r="R19" s="6">
        <f t="shared" si="8"/>
        <v>192.28444444444466</v>
      </c>
      <c r="S19" s="7">
        <f t="shared" si="9"/>
        <v>0.13206349206349213</v>
      </c>
    </row>
    <row r="20" spans="1:19" x14ac:dyDescent="0.3">
      <c r="A20" s="5">
        <v>19</v>
      </c>
      <c r="B20" s="6">
        <v>15</v>
      </c>
      <c r="C20" s="5">
        <v>107.1</v>
      </c>
      <c r="E20" s="5">
        <v>17</v>
      </c>
      <c r="F20" s="6">
        <v>15</v>
      </c>
      <c r="G20" s="6">
        <f t="shared" si="0"/>
        <v>13.333333333333334</v>
      </c>
      <c r="H20" s="6">
        <f t="shared" si="1"/>
        <v>-1.6666666666666661</v>
      </c>
      <c r="I20" s="6">
        <f t="shared" si="2"/>
        <v>1.6666666666666661</v>
      </c>
      <c r="J20" s="6">
        <f t="shared" si="3"/>
        <v>2.7777777777777759</v>
      </c>
      <c r="K20" s="7">
        <f t="shared" si="4"/>
        <v>0.11111111111111108</v>
      </c>
      <c r="M20" s="5">
        <v>17</v>
      </c>
      <c r="N20" s="5">
        <v>103.5</v>
      </c>
      <c r="O20" s="6">
        <f t="shared" si="5"/>
        <v>95.666666666666671</v>
      </c>
      <c r="P20" s="6">
        <f t="shared" si="6"/>
        <v>7.8333333333333286</v>
      </c>
      <c r="Q20" s="6">
        <f t="shared" si="7"/>
        <v>7.8333333333333286</v>
      </c>
      <c r="R20" s="6">
        <f t="shared" si="8"/>
        <v>61.361111111111036</v>
      </c>
      <c r="S20" s="7">
        <f t="shared" si="9"/>
        <v>7.5684380032206067E-2</v>
      </c>
    </row>
    <row r="21" spans="1:19" x14ac:dyDescent="0.3">
      <c r="A21" s="5">
        <v>20</v>
      </c>
      <c r="B21" s="6">
        <v>20</v>
      </c>
      <c r="C21" s="5">
        <v>110.9</v>
      </c>
      <c r="E21" s="5">
        <v>18</v>
      </c>
      <c r="F21" s="6">
        <v>5</v>
      </c>
      <c r="G21" s="6">
        <f t="shared" si="0"/>
        <v>16.666666666666668</v>
      </c>
      <c r="H21" s="6">
        <f t="shared" si="1"/>
        <v>11.666666666666668</v>
      </c>
      <c r="I21" s="6">
        <f t="shared" si="2"/>
        <v>11.666666666666668</v>
      </c>
      <c r="J21" s="6">
        <f t="shared" si="3"/>
        <v>136.11111111111114</v>
      </c>
      <c r="K21" s="7">
        <f t="shared" si="4"/>
        <v>2.3333333333333335</v>
      </c>
      <c r="M21" s="5">
        <v>18</v>
      </c>
      <c r="N21" s="5">
        <v>99.6</v>
      </c>
      <c r="O21" s="6">
        <f t="shared" si="5"/>
        <v>100.66666666666667</v>
      </c>
      <c r="P21" s="6">
        <f t="shared" si="6"/>
        <v>-1.0666666666666771</v>
      </c>
      <c r="Q21" s="6">
        <f t="shared" si="7"/>
        <v>1.0666666666666771</v>
      </c>
      <c r="R21" s="6">
        <f t="shared" si="8"/>
        <v>1.1377777777778</v>
      </c>
      <c r="S21" s="7">
        <f t="shared" si="9"/>
        <v>1.0709504685408405E-2</v>
      </c>
    </row>
    <row r="22" spans="1:19" x14ac:dyDescent="0.3">
      <c r="A22" s="5">
        <v>21</v>
      </c>
      <c r="B22" s="6">
        <v>25</v>
      </c>
      <c r="C22" s="5">
        <v>114.7</v>
      </c>
      <c r="E22" s="5">
        <v>19</v>
      </c>
      <c r="F22" s="6">
        <v>15</v>
      </c>
      <c r="G22" s="6">
        <f t="shared" si="0"/>
        <v>15</v>
      </c>
      <c r="H22" s="6">
        <f t="shared" si="1"/>
        <v>0</v>
      </c>
      <c r="I22" s="6">
        <f t="shared" si="2"/>
        <v>0</v>
      </c>
      <c r="J22" s="6">
        <f t="shared" si="3"/>
        <v>0</v>
      </c>
      <c r="K22" s="7">
        <f t="shared" si="4"/>
        <v>0</v>
      </c>
      <c r="M22" s="5">
        <v>19</v>
      </c>
      <c r="N22" s="5">
        <v>107.1</v>
      </c>
      <c r="O22" s="6">
        <f t="shared" si="5"/>
        <v>102.7</v>
      </c>
      <c r="P22" s="6">
        <f t="shared" si="6"/>
        <v>4.3999999999999915</v>
      </c>
      <c r="Q22" s="6">
        <f t="shared" si="7"/>
        <v>4.3999999999999915</v>
      </c>
      <c r="R22" s="6">
        <f t="shared" si="8"/>
        <v>19.359999999999925</v>
      </c>
      <c r="S22" s="7">
        <f t="shared" si="9"/>
        <v>4.1083099906629242E-2</v>
      </c>
    </row>
    <row r="23" spans="1:19" x14ac:dyDescent="0.3">
      <c r="A23" s="5">
        <v>22</v>
      </c>
      <c r="B23" s="6">
        <v>15</v>
      </c>
      <c r="C23" s="5">
        <v>112.1</v>
      </c>
      <c r="E23" s="5">
        <v>20</v>
      </c>
      <c r="F23" s="6">
        <v>20</v>
      </c>
      <c r="G23" s="6">
        <f t="shared" si="0"/>
        <v>11.666666666666666</v>
      </c>
      <c r="H23" s="6">
        <f t="shared" si="1"/>
        <v>-8.3333333333333339</v>
      </c>
      <c r="I23" s="6">
        <f t="shared" si="2"/>
        <v>8.3333333333333339</v>
      </c>
      <c r="J23" s="6">
        <f t="shared" si="3"/>
        <v>69.444444444444457</v>
      </c>
      <c r="K23" s="7">
        <f t="shared" si="4"/>
        <v>0.41666666666666669</v>
      </c>
      <c r="M23" s="5">
        <v>20</v>
      </c>
      <c r="N23" s="5">
        <v>110.9</v>
      </c>
      <c r="O23" s="6">
        <f t="shared" si="5"/>
        <v>103.39999999999999</v>
      </c>
      <c r="P23" s="6">
        <f t="shared" si="6"/>
        <v>7.5000000000000142</v>
      </c>
      <c r="Q23" s="6">
        <f t="shared" si="7"/>
        <v>7.5000000000000142</v>
      </c>
      <c r="R23" s="6">
        <f t="shared" si="8"/>
        <v>56.250000000000213</v>
      </c>
      <c r="S23" s="7">
        <f t="shared" si="9"/>
        <v>6.7628494138863959E-2</v>
      </c>
    </row>
    <row r="24" spans="1:19" x14ac:dyDescent="0.3">
      <c r="A24" s="5">
        <v>23</v>
      </c>
      <c r="B24" s="6">
        <v>0</v>
      </c>
      <c r="C24" s="5">
        <v>105.5</v>
      </c>
      <c r="E24" s="5">
        <v>21</v>
      </c>
      <c r="F24" s="6">
        <v>25</v>
      </c>
      <c r="G24" s="6">
        <f t="shared" si="0"/>
        <v>13.333333333333334</v>
      </c>
      <c r="H24" s="6">
        <f t="shared" si="1"/>
        <v>-11.666666666666666</v>
      </c>
      <c r="I24" s="6">
        <f t="shared" si="2"/>
        <v>11.666666666666666</v>
      </c>
      <c r="J24" s="6">
        <f t="shared" si="3"/>
        <v>136.11111111111109</v>
      </c>
      <c r="K24" s="7">
        <f t="shared" si="4"/>
        <v>0.46666666666666662</v>
      </c>
      <c r="M24" s="5">
        <v>21</v>
      </c>
      <c r="N24" s="5">
        <v>114.7</v>
      </c>
      <c r="O24" s="6">
        <f t="shared" si="5"/>
        <v>105.86666666666667</v>
      </c>
      <c r="P24" s="6">
        <f t="shared" si="6"/>
        <v>8.8333333333333286</v>
      </c>
      <c r="Q24" s="6">
        <f t="shared" si="7"/>
        <v>8.8333333333333286</v>
      </c>
      <c r="R24" s="6">
        <f t="shared" si="8"/>
        <v>78.0277777777777</v>
      </c>
      <c r="S24" s="7">
        <f t="shared" si="9"/>
        <v>7.7012496367335037E-2</v>
      </c>
    </row>
    <row r="25" spans="1:19" x14ac:dyDescent="0.3">
      <c r="A25" s="5">
        <v>24</v>
      </c>
      <c r="B25" s="6">
        <v>5</v>
      </c>
      <c r="C25" s="5">
        <v>110.9</v>
      </c>
      <c r="E25" s="5">
        <v>22</v>
      </c>
      <c r="F25" s="6">
        <v>15</v>
      </c>
      <c r="G25" s="6">
        <f t="shared" si="0"/>
        <v>20</v>
      </c>
      <c r="H25" s="6">
        <f t="shared" si="1"/>
        <v>5</v>
      </c>
      <c r="I25" s="6">
        <f t="shared" si="2"/>
        <v>5</v>
      </c>
      <c r="J25" s="6">
        <f t="shared" si="3"/>
        <v>25</v>
      </c>
      <c r="K25" s="7">
        <f t="shared" si="4"/>
        <v>0.33333333333333331</v>
      </c>
      <c r="M25" s="5">
        <v>22</v>
      </c>
      <c r="N25" s="5">
        <v>112.1</v>
      </c>
      <c r="O25" s="6">
        <f t="shared" si="5"/>
        <v>110.89999999999999</v>
      </c>
      <c r="P25" s="6">
        <f t="shared" si="6"/>
        <v>1.2000000000000028</v>
      </c>
      <c r="Q25" s="6">
        <f t="shared" si="7"/>
        <v>1.2000000000000028</v>
      </c>
      <c r="R25" s="6">
        <f t="shared" si="8"/>
        <v>1.4400000000000068</v>
      </c>
      <c r="S25" s="7">
        <f t="shared" si="9"/>
        <v>1.0704727921498687E-2</v>
      </c>
    </row>
    <row r="26" spans="1:19" x14ac:dyDescent="0.3">
      <c r="E26" s="5">
        <v>23</v>
      </c>
      <c r="F26" s="6">
        <v>0</v>
      </c>
      <c r="G26" s="6">
        <f t="shared" si="0"/>
        <v>20</v>
      </c>
      <c r="H26" s="6">
        <f t="shared" si="1"/>
        <v>20</v>
      </c>
      <c r="I26" s="6">
        <f t="shared" si="2"/>
        <v>20</v>
      </c>
      <c r="J26" s="6">
        <f t="shared" si="3"/>
        <v>400</v>
      </c>
      <c r="K26" s="7" t="str">
        <f t="shared" si="4"/>
        <v/>
      </c>
      <c r="M26" s="5">
        <v>23</v>
      </c>
      <c r="N26" s="5">
        <v>105.5</v>
      </c>
      <c r="O26" s="6">
        <f t="shared" si="5"/>
        <v>112.56666666666668</v>
      </c>
      <c r="P26" s="6">
        <f t="shared" si="6"/>
        <v>-7.0666666666666771</v>
      </c>
      <c r="Q26" s="6">
        <f t="shared" si="7"/>
        <v>7.0666666666666771</v>
      </c>
      <c r="R26" s="6">
        <f t="shared" si="8"/>
        <v>49.937777777777924</v>
      </c>
      <c r="S26" s="7">
        <f t="shared" si="9"/>
        <v>6.6982622432859504E-2</v>
      </c>
    </row>
    <row r="27" spans="1:19" x14ac:dyDescent="0.3">
      <c r="E27" s="5">
        <v>24</v>
      </c>
      <c r="F27" s="6">
        <v>5</v>
      </c>
      <c r="G27" s="6">
        <f t="shared" si="0"/>
        <v>13.333333333333334</v>
      </c>
      <c r="H27" s="6">
        <f t="shared" si="1"/>
        <v>8.3333333333333339</v>
      </c>
      <c r="I27" s="6">
        <f t="shared" si="2"/>
        <v>8.3333333333333339</v>
      </c>
      <c r="J27" s="6">
        <f t="shared" si="3"/>
        <v>69.444444444444457</v>
      </c>
      <c r="K27" s="7">
        <f t="shared" si="4"/>
        <v>1.6666666666666667</v>
      </c>
      <c r="M27" s="5">
        <v>24</v>
      </c>
      <c r="N27" s="5">
        <v>110.9</v>
      </c>
      <c r="O27" s="6">
        <f t="shared" si="5"/>
        <v>110.76666666666667</v>
      </c>
      <c r="P27" s="6">
        <f t="shared" si="6"/>
        <v>0.13333333333333997</v>
      </c>
      <c r="Q27" s="6">
        <f t="shared" si="7"/>
        <v>0.13333333333333997</v>
      </c>
      <c r="R27" s="6">
        <f t="shared" si="8"/>
        <v>1.7777777777779547E-2</v>
      </c>
      <c r="S27" s="7">
        <f t="shared" si="9"/>
        <v>1.2022843402465281E-3</v>
      </c>
    </row>
    <row r="30" spans="1:19" x14ac:dyDescent="0.3">
      <c r="E30" s="2" t="s">
        <v>14</v>
      </c>
      <c r="F30" s="2"/>
      <c r="G30" s="2"/>
      <c r="M30" s="8" t="s">
        <v>14</v>
      </c>
    </row>
    <row r="31" spans="1:19" x14ac:dyDescent="0.3">
      <c r="E31" s="9" t="s">
        <v>15</v>
      </c>
      <c r="F31" s="10">
        <f>AVERAGE(I7:I27)</f>
        <v>7.6190476190476186</v>
      </c>
      <c r="M31" s="11" t="s">
        <v>15</v>
      </c>
      <c r="N31" s="12">
        <f>AVERAGE(Q7:Q27)</f>
        <v>4.5507936507936533</v>
      </c>
    </row>
    <row r="32" spans="1:19" x14ac:dyDescent="0.3">
      <c r="E32" s="3" t="s">
        <v>11</v>
      </c>
      <c r="F32" s="13">
        <f>AVERAGE(J7:J27)</f>
        <v>79.100529100529116</v>
      </c>
      <c r="M32" s="11" t="s">
        <v>11</v>
      </c>
      <c r="N32" s="12">
        <f>AVERAGE(R7:R27)</f>
        <v>31.034550264550283</v>
      </c>
    </row>
    <row r="33" spans="5:14" x14ac:dyDescent="0.3">
      <c r="E33" s="3" t="s">
        <v>16</v>
      </c>
      <c r="F33" s="3">
        <f>SQRT(F32)</f>
        <v>8.8938478231038509</v>
      </c>
      <c r="M33" s="11" t="s">
        <v>16</v>
      </c>
      <c r="N33" s="11">
        <f>SQRT(N32)</f>
        <v>5.5708662041508665</v>
      </c>
    </row>
    <row r="34" spans="5:14" x14ac:dyDescent="0.3">
      <c r="E34" s="3" t="s">
        <v>12</v>
      </c>
      <c r="F34" s="14">
        <f>AVERAGE(K7:K27)</f>
        <v>0.76027777777777772</v>
      </c>
      <c r="M34" s="11" t="s">
        <v>12</v>
      </c>
      <c r="N34" s="15">
        <f>AVERAGE(S7:S27)</f>
        <v>4.70539042609813E-2</v>
      </c>
    </row>
  </sheetData>
  <mergeCells count="1">
    <mergeCell ref="E30:G3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4"/>
  <sheetViews>
    <sheetView topLeftCell="O8" zoomScaleNormal="100" workbookViewId="0">
      <selection activeCell="Q31" sqref="Q31"/>
    </sheetView>
  </sheetViews>
  <sheetFormatPr defaultColWidth="8.6640625" defaultRowHeight="14.25" customHeight="1" x14ac:dyDescent="0.3"/>
  <cols>
    <col min="6" max="6" width="9.6640625" customWidth="1"/>
    <col min="10" max="10" width="15.6640625" customWidth="1"/>
    <col min="24" max="24" width="8.44140625" customWidth="1"/>
  </cols>
  <sheetData>
    <row r="1" spans="1:25" x14ac:dyDescent="0.3">
      <c r="A1" s="1" t="s">
        <v>17</v>
      </c>
      <c r="B1" s="1"/>
      <c r="C1">
        <v>3</v>
      </c>
      <c r="O1" t="s">
        <v>18</v>
      </c>
      <c r="Q1">
        <v>3</v>
      </c>
    </row>
    <row r="2" spans="1:25" x14ac:dyDescent="0.3">
      <c r="A2" t="s">
        <v>19</v>
      </c>
      <c r="O2" t="s">
        <v>20</v>
      </c>
    </row>
    <row r="3" spans="1:25" x14ac:dyDescent="0.3">
      <c r="A3" s="3" t="s">
        <v>0</v>
      </c>
      <c r="B3" s="3" t="s">
        <v>7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8</v>
      </c>
      <c r="H3" s="3" t="s">
        <v>25</v>
      </c>
      <c r="I3" s="3" t="s">
        <v>26</v>
      </c>
      <c r="J3" s="3" t="s">
        <v>27</v>
      </c>
      <c r="K3" s="3" t="s">
        <v>28</v>
      </c>
      <c r="O3" s="3" t="s">
        <v>0</v>
      </c>
      <c r="P3" s="3" t="s">
        <v>7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8</v>
      </c>
      <c r="V3" s="3" t="s">
        <v>25</v>
      </c>
      <c r="W3" s="3" t="s">
        <v>26</v>
      </c>
      <c r="X3" s="3" t="s">
        <v>27</v>
      </c>
      <c r="Y3" s="3" t="s">
        <v>28</v>
      </c>
    </row>
    <row r="4" spans="1:25" x14ac:dyDescent="0.3">
      <c r="A4" s="5">
        <v>1</v>
      </c>
      <c r="B4" s="6">
        <v>25</v>
      </c>
      <c r="C4" s="5" t="s">
        <v>13</v>
      </c>
      <c r="D4" s="5" t="s">
        <v>13</v>
      </c>
      <c r="E4" s="5" t="s">
        <v>13</v>
      </c>
      <c r="F4" s="5" t="s">
        <v>13</v>
      </c>
      <c r="G4" s="5" t="s">
        <v>13</v>
      </c>
      <c r="H4" s="5" t="s">
        <v>13</v>
      </c>
      <c r="I4" s="5" t="s">
        <v>13</v>
      </c>
      <c r="J4" s="5" t="s">
        <v>13</v>
      </c>
      <c r="K4" s="5" t="s">
        <v>13</v>
      </c>
      <c r="O4" s="5">
        <v>1</v>
      </c>
      <c r="P4" s="5">
        <v>92.8</v>
      </c>
      <c r="Q4" s="5" t="s">
        <v>13</v>
      </c>
      <c r="R4" s="5" t="s">
        <v>13</v>
      </c>
      <c r="S4" s="5" t="s">
        <v>13</v>
      </c>
      <c r="T4" s="5" t="s">
        <v>13</v>
      </c>
      <c r="U4" s="5" t="s">
        <v>13</v>
      </c>
      <c r="V4" s="5" t="s">
        <v>13</v>
      </c>
      <c r="W4" s="5" t="s">
        <v>13</v>
      </c>
      <c r="X4" s="5" t="s">
        <v>13</v>
      </c>
      <c r="Y4" s="5" t="s">
        <v>13</v>
      </c>
    </row>
    <row r="5" spans="1:25" x14ac:dyDescent="0.3">
      <c r="A5" s="5">
        <v>2</v>
      </c>
      <c r="B5" s="6">
        <v>0</v>
      </c>
      <c r="C5" s="5" t="s">
        <v>13</v>
      </c>
      <c r="D5" s="5" t="s">
        <v>13</v>
      </c>
      <c r="E5" t="s">
        <v>13</v>
      </c>
      <c r="F5" s="5" t="s">
        <v>13</v>
      </c>
      <c r="G5" s="5" t="s">
        <v>13</v>
      </c>
      <c r="H5" s="5" t="s">
        <v>13</v>
      </c>
      <c r="I5" s="5" t="s">
        <v>13</v>
      </c>
      <c r="J5" s="5" t="s">
        <v>13</v>
      </c>
      <c r="K5" s="5" t="s">
        <v>13</v>
      </c>
      <c r="O5" s="5">
        <v>2</v>
      </c>
      <c r="P5" s="5">
        <v>79.2</v>
      </c>
      <c r="Q5" s="5" t="s">
        <v>13</v>
      </c>
      <c r="R5" s="5" t="s">
        <v>13</v>
      </c>
      <c r="S5" s="5" t="s">
        <v>13</v>
      </c>
      <c r="T5" s="5" t="s">
        <v>13</v>
      </c>
      <c r="U5" s="5" t="s">
        <v>13</v>
      </c>
      <c r="V5" s="5" t="s">
        <v>13</v>
      </c>
      <c r="W5" s="5" t="s">
        <v>13</v>
      </c>
      <c r="X5" s="5" t="s">
        <v>13</v>
      </c>
      <c r="Y5" s="5" t="s">
        <v>13</v>
      </c>
    </row>
    <row r="6" spans="1:25" x14ac:dyDescent="0.3">
      <c r="A6" s="5">
        <v>3</v>
      </c>
      <c r="B6" s="6">
        <v>15</v>
      </c>
      <c r="C6" s="6">
        <f t="shared" ref="C6:C27" si="0">AVERAGE(B4:B6)</f>
        <v>13.333333333333334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J6" s="5" t="s">
        <v>13</v>
      </c>
      <c r="K6" s="5" t="s">
        <v>13</v>
      </c>
      <c r="O6" s="5">
        <v>3</v>
      </c>
      <c r="P6" s="5">
        <v>84.5</v>
      </c>
      <c r="Q6" s="6">
        <f t="shared" ref="Q6:Q27" si="1">AVERAGE(P4:P6)</f>
        <v>85.5</v>
      </c>
      <c r="R6" s="6" t="s">
        <v>13</v>
      </c>
      <c r="S6" s="5" t="s">
        <v>13</v>
      </c>
      <c r="T6" s="5" t="s">
        <v>13</v>
      </c>
      <c r="U6" s="5" t="s">
        <v>13</v>
      </c>
      <c r="V6" s="5" t="s">
        <v>13</v>
      </c>
      <c r="W6" s="5" t="s">
        <v>13</v>
      </c>
      <c r="X6" s="5" t="s">
        <v>13</v>
      </c>
      <c r="Y6" s="5" t="s">
        <v>13</v>
      </c>
    </row>
    <row r="7" spans="1:25" x14ac:dyDescent="0.3">
      <c r="A7" s="5">
        <v>4</v>
      </c>
      <c r="B7" s="6">
        <v>10</v>
      </c>
      <c r="C7" s="6">
        <f t="shared" si="0"/>
        <v>8.3333333333333339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J7" s="5" t="s">
        <v>13</v>
      </c>
      <c r="K7" s="5" t="s">
        <v>13</v>
      </c>
      <c r="O7" s="5">
        <v>4</v>
      </c>
      <c r="P7" s="5">
        <v>83</v>
      </c>
      <c r="Q7" s="6">
        <f t="shared" si="1"/>
        <v>82.233333333333334</v>
      </c>
      <c r="R7" s="6" t="s">
        <v>13</v>
      </c>
      <c r="S7" s="5" t="s">
        <v>13</v>
      </c>
      <c r="T7" s="5" t="s">
        <v>13</v>
      </c>
      <c r="U7" s="5" t="s">
        <v>13</v>
      </c>
      <c r="V7" s="5" t="s">
        <v>13</v>
      </c>
      <c r="W7" s="5" t="s">
        <v>13</v>
      </c>
      <c r="X7" s="5" t="s">
        <v>13</v>
      </c>
      <c r="Y7" s="5" t="s">
        <v>13</v>
      </c>
    </row>
    <row r="8" spans="1:25" x14ac:dyDescent="0.3">
      <c r="A8" s="5">
        <v>5</v>
      </c>
      <c r="B8" s="6">
        <v>20</v>
      </c>
      <c r="C8" s="6">
        <f t="shared" si="0"/>
        <v>15</v>
      </c>
      <c r="D8" s="6">
        <f t="shared" ref="D8:D27" si="2">AVERAGE(C6:C8)</f>
        <v>12.222222222222223</v>
      </c>
      <c r="E8" s="6">
        <f t="shared" ref="E8:E27" si="3">2*C8-D8</f>
        <v>17.777777777777779</v>
      </c>
      <c r="F8" s="6">
        <f t="shared" ref="F8:F27" si="4">(2/($C$1-1))*(C8-D8)</f>
        <v>2.7777777777777768</v>
      </c>
      <c r="G8" s="16" t="s">
        <v>13</v>
      </c>
      <c r="H8" s="6" t="s">
        <v>13</v>
      </c>
      <c r="I8" s="5" t="s">
        <v>13</v>
      </c>
      <c r="J8" s="5" t="s">
        <v>13</v>
      </c>
      <c r="K8" s="5" t="s">
        <v>13</v>
      </c>
      <c r="O8" s="5">
        <v>5</v>
      </c>
      <c r="P8" s="5">
        <v>88.1</v>
      </c>
      <c r="Q8" s="6">
        <f t="shared" si="1"/>
        <v>85.2</v>
      </c>
      <c r="R8" s="6">
        <f t="shared" ref="R8:R27" si="5">AVERAGE(Q6:Q8)</f>
        <v>84.311111111111117</v>
      </c>
      <c r="S8" s="6">
        <f t="shared" ref="S8:S27" si="6">2*Q8-R8</f>
        <v>86.088888888888889</v>
      </c>
      <c r="T8" s="6">
        <f t="shared" ref="T8:T27" si="7">(2/($Q$1-1))*(Q8-R8)</f>
        <v>0.88888888888888573</v>
      </c>
      <c r="U8" s="5" t="s">
        <v>13</v>
      </c>
      <c r="V8" s="5" t="s">
        <v>13</v>
      </c>
      <c r="W8" s="5" t="s">
        <v>13</v>
      </c>
      <c r="X8" s="5" t="s">
        <v>13</v>
      </c>
      <c r="Y8" s="5" t="s">
        <v>13</v>
      </c>
    </row>
    <row r="9" spans="1:25" x14ac:dyDescent="0.3">
      <c r="A9" s="5">
        <v>6</v>
      </c>
      <c r="B9" s="6">
        <v>10</v>
      </c>
      <c r="C9" s="6">
        <f t="shared" si="0"/>
        <v>13.333333333333334</v>
      </c>
      <c r="D9" s="6">
        <f t="shared" si="2"/>
        <v>12.222222222222223</v>
      </c>
      <c r="E9" s="6">
        <f t="shared" si="3"/>
        <v>14.444444444444445</v>
      </c>
      <c r="F9" s="6">
        <f t="shared" si="4"/>
        <v>1.1111111111111107</v>
      </c>
      <c r="G9" s="6">
        <f t="shared" ref="G9:G28" si="8">E8+F8</f>
        <v>20.555555555555557</v>
      </c>
      <c r="H9" s="6">
        <f t="shared" ref="H9:H27" si="9">B9-G9</f>
        <v>-10.555555555555557</v>
      </c>
      <c r="I9" s="6">
        <f t="shared" ref="I9:I27" si="10">ABS(H9)</f>
        <v>10.555555555555557</v>
      </c>
      <c r="J9" s="6">
        <f t="shared" ref="J9:J27" si="11">H9^2</f>
        <v>111.41975308641979</v>
      </c>
      <c r="K9" s="7">
        <f t="shared" ref="K9:K27" si="12">IF(B9=0,"",I9/B9)</f>
        <v>1.0555555555555558</v>
      </c>
      <c r="O9" s="5">
        <v>6</v>
      </c>
      <c r="P9" s="5">
        <v>83.9</v>
      </c>
      <c r="Q9" s="6">
        <f t="shared" si="1"/>
        <v>85</v>
      </c>
      <c r="R9" s="6">
        <f t="shared" si="5"/>
        <v>84.144444444444446</v>
      </c>
      <c r="S9" s="6">
        <f t="shared" si="6"/>
        <v>85.855555555555554</v>
      </c>
      <c r="T9" s="6">
        <f t="shared" si="7"/>
        <v>0.85555555555555429</v>
      </c>
      <c r="U9" s="6">
        <f t="shared" ref="U9:U28" si="13">S8+T8</f>
        <v>86.977777777777774</v>
      </c>
      <c r="V9" s="6">
        <f t="shared" ref="V9:V27" si="14">P9-U9</f>
        <v>-3.0777777777777686</v>
      </c>
      <c r="W9" s="6">
        <f t="shared" ref="W9:W27" si="15">ABS(V9)</f>
        <v>3.0777777777777686</v>
      </c>
      <c r="X9" s="6">
        <f t="shared" ref="X9:X27" si="16">V9^2</f>
        <v>9.4727160493826599</v>
      </c>
      <c r="Y9" s="7">
        <f t="shared" ref="Y9:Y27" si="17">W9/P9</f>
        <v>3.6683882929413214E-2</v>
      </c>
    </row>
    <row r="10" spans="1:25" x14ac:dyDescent="0.3">
      <c r="A10" s="5">
        <v>7</v>
      </c>
      <c r="B10" s="6">
        <v>5</v>
      </c>
      <c r="C10" s="6">
        <f t="shared" si="0"/>
        <v>11.666666666666666</v>
      </c>
      <c r="D10" s="6">
        <f t="shared" si="2"/>
        <v>13.333333333333334</v>
      </c>
      <c r="E10" s="6">
        <f t="shared" si="3"/>
        <v>9.9999999999999982</v>
      </c>
      <c r="F10" s="6">
        <f t="shared" si="4"/>
        <v>-1.6666666666666679</v>
      </c>
      <c r="G10" s="6">
        <f t="shared" si="8"/>
        <v>15.555555555555555</v>
      </c>
      <c r="H10" s="6">
        <f t="shared" si="9"/>
        <v>-10.555555555555555</v>
      </c>
      <c r="I10" s="6">
        <f t="shared" si="10"/>
        <v>10.555555555555555</v>
      </c>
      <c r="J10" s="6">
        <f t="shared" si="11"/>
        <v>111.41975308641975</v>
      </c>
      <c r="K10" s="7">
        <f t="shared" si="12"/>
        <v>2.1111111111111112</v>
      </c>
      <c r="O10" s="5">
        <v>7</v>
      </c>
      <c r="P10" s="5">
        <v>79.900000000000006</v>
      </c>
      <c r="Q10" s="6">
        <f t="shared" si="1"/>
        <v>83.966666666666669</v>
      </c>
      <c r="R10" s="6">
        <f t="shared" si="5"/>
        <v>84.722222222222214</v>
      </c>
      <c r="S10" s="6">
        <f t="shared" si="6"/>
        <v>83.211111111111123</v>
      </c>
      <c r="T10" s="6">
        <f t="shared" si="7"/>
        <v>-0.75555555555554577</v>
      </c>
      <c r="U10" s="6">
        <f t="shared" si="13"/>
        <v>86.711111111111109</v>
      </c>
      <c r="V10" s="6">
        <f t="shared" si="14"/>
        <v>-6.8111111111111029</v>
      </c>
      <c r="W10" s="6">
        <f t="shared" si="15"/>
        <v>6.8111111111111029</v>
      </c>
      <c r="X10" s="6">
        <f t="shared" si="16"/>
        <v>46.391234567901122</v>
      </c>
      <c r="Y10" s="7">
        <f t="shared" si="17"/>
        <v>8.5245445696008795E-2</v>
      </c>
    </row>
    <row r="11" spans="1:25" x14ac:dyDescent="0.3">
      <c r="A11" s="5">
        <v>8</v>
      </c>
      <c r="B11" s="6">
        <v>5</v>
      </c>
      <c r="C11" s="6">
        <f t="shared" si="0"/>
        <v>6.666666666666667</v>
      </c>
      <c r="D11" s="6">
        <f t="shared" si="2"/>
        <v>10.555555555555555</v>
      </c>
      <c r="E11" s="6">
        <f t="shared" si="3"/>
        <v>2.7777777777777786</v>
      </c>
      <c r="F11" s="6">
        <f t="shared" si="4"/>
        <v>-3.8888888888888884</v>
      </c>
      <c r="G11" s="6">
        <f t="shared" si="8"/>
        <v>8.3333333333333304</v>
      </c>
      <c r="H11" s="6">
        <f t="shared" si="9"/>
        <v>-3.3333333333333304</v>
      </c>
      <c r="I11" s="6">
        <f t="shared" si="10"/>
        <v>3.3333333333333304</v>
      </c>
      <c r="J11" s="6">
        <f t="shared" si="11"/>
        <v>11.111111111111091</v>
      </c>
      <c r="K11" s="7">
        <f t="shared" si="12"/>
        <v>0.66666666666666607</v>
      </c>
      <c r="O11" s="5">
        <v>8</v>
      </c>
      <c r="P11" s="5">
        <v>81.099999999999994</v>
      </c>
      <c r="Q11" s="6">
        <f t="shared" si="1"/>
        <v>81.63333333333334</v>
      </c>
      <c r="R11" s="6">
        <f t="shared" si="5"/>
        <v>83.533333333333346</v>
      </c>
      <c r="S11" s="6">
        <f t="shared" si="6"/>
        <v>79.733333333333334</v>
      </c>
      <c r="T11" s="6">
        <f t="shared" si="7"/>
        <v>-1.9000000000000057</v>
      </c>
      <c r="U11" s="6">
        <f t="shared" si="13"/>
        <v>82.455555555555577</v>
      </c>
      <c r="V11" s="6">
        <f t="shared" si="14"/>
        <v>-1.3555555555555827</v>
      </c>
      <c r="W11" s="6">
        <f t="shared" si="15"/>
        <v>1.3555555555555827</v>
      </c>
      <c r="X11" s="6">
        <f t="shared" si="16"/>
        <v>1.8375308641976045</v>
      </c>
      <c r="Y11" s="7">
        <f t="shared" si="17"/>
        <v>1.671461844088265E-2</v>
      </c>
    </row>
    <row r="12" spans="1:25" x14ac:dyDescent="0.3">
      <c r="A12" s="5">
        <v>9</v>
      </c>
      <c r="B12" s="6">
        <v>15</v>
      </c>
      <c r="C12" s="6">
        <f t="shared" si="0"/>
        <v>8.3333333333333339</v>
      </c>
      <c r="D12" s="6">
        <f t="shared" si="2"/>
        <v>8.8888888888888875</v>
      </c>
      <c r="E12" s="6">
        <f t="shared" si="3"/>
        <v>7.7777777777777803</v>
      </c>
      <c r="F12" s="6">
        <f t="shared" si="4"/>
        <v>-0.55555555555555358</v>
      </c>
      <c r="G12" s="6">
        <f t="shared" si="8"/>
        <v>-1.1111111111111098</v>
      </c>
      <c r="H12" s="6">
        <f t="shared" si="9"/>
        <v>16.111111111111111</v>
      </c>
      <c r="I12" s="6">
        <f t="shared" si="10"/>
        <v>16.111111111111111</v>
      </c>
      <c r="J12" s="6">
        <f t="shared" si="11"/>
        <v>259.5679012345679</v>
      </c>
      <c r="K12" s="7">
        <f t="shared" si="12"/>
        <v>1.074074074074074</v>
      </c>
      <c r="O12" s="5">
        <v>9</v>
      </c>
      <c r="P12" s="5">
        <v>86.4</v>
      </c>
      <c r="Q12" s="6">
        <f t="shared" si="1"/>
        <v>82.466666666666669</v>
      </c>
      <c r="R12" s="6">
        <f t="shared" si="5"/>
        <v>82.688888888888897</v>
      </c>
      <c r="S12" s="6">
        <f t="shared" si="6"/>
        <v>82.24444444444444</v>
      </c>
      <c r="T12" s="6">
        <f t="shared" si="7"/>
        <v>-0.22222222222222854</v>
      </c>
      <c r="U12" s="6">
        <f t="shared" si="13"/>
        <v>77.833333333333329</v>
      </c>
      <c r="V12" s="6">
        <f t="shared" si="14"/>
        <v>8.5666666666666771</v>
      </c>
      <c r="W12" s="6">
        <f t="shared" si="15"/>
        <v>8.5666666666666771</v>
      </c>
      <c r="X12" s="6">
        <f t="shared" si="16"/>
        <v>73.387777777777956</v>
      </c>
      <c r="Y12" s="7">
        <f t="shared" si="17"/>
        <v>9.9151234567901342E-2</v>
      </c>
    </row>
    <row r="13" spans="1:25" x14ac:dyDescent="0.3">
      <c r="A13" s="5">
        <v>10</v>
      </c>
      <c r="B13" s="6">
        <v>15</v>
      </c>
      <c r="C13" s="6">
        <f t="shared" si="0"/>
        <v>11.666666666666666</v>
      </c>
      <c r="D13" s="6">
        <f t="shared" si="2"/>
        <v>8.8888888888888875</v>
      </c>
      <c r="E13" s="6">
        <f t="shared" si="3"/>
        <v>14.444444444444445</v>
      </c>
      <c r="F13" s="6">
        <f t="shared" si="4"/>
        <v>2.7777777777777786</v>
      </c>
      <c r="G13" s="6">
        <f t="shared" si="8"/>
        <v>7.2222222222222268</v>
      </c>
      <c r="H13" s="6">
        <f t="shared" si="9"/>
        <v>7.7777777777777732</v>
      </c>
      <c r="I13" s="6">
        <f t="shared" si="10"/>
        <v>7.7777777777777732</v>
      </c>
      <c r="J13" s="6">
        <f t="shared" si="11"/>
        <v>60.493827160493758</v>
      </c>
      <c r="K13" s="7">
        <f t="shared" si="12"/>
        <v>0.51851851851851827</v>
      </c>
      <c r="O13" s="5">
        <v>10</v>
      </c>
      <c r="P13" s="5">
        <v>86.3</v>
      </c>
      <c r="Q13" s="6">
        <f t="shared" si="1"/>
        <v>84.600000000000009</v>
      </c>
      <c r="R13" s="6">
        <f t="shared" si="5"/>
        <v>82.90000000000002</v>
      </c>
      <c r="S13" s="6">
        <f t="shared" si="6"/>
        <v>86.3</v>
      </c>
      <c r="T13" s="6">
        <f t="shared" si="7"/>
        <v>1.6999999999999886</v>
      </c>
      <c r="U13" s="6">
        <f t="shared" si="13"/>
        <v>82.022222222222211</v>
      </c>
      <c r="V13" s="6">
        <f t="shared" si="14"/>
        <v>4.2777777777777857</v>
      </c>
      <c r="W13" s="6">
        <f t="shared" si="15"/>
        <v>4.2777777777777857</v>
      </c>
      <c r="X13" s="6">
        <f t="shared" si="16"/>
        <v>18.29938271604945</v>
      </c>
      <c r="Y13" s="7">
        <f t="shared" si="17"/>
        <v>4.9568688039140045E-2</v>
      </c>
    </row>
    <row r="14" spans="1:25" x14ac:dyDescent="0.3">
      <c r="A14" s="5">
        <v>11</v>
      </c>
      <c r="B14" s="6">
        <v>5</v>
      </c>
      <c r="C14" s="6">
        <f t="shared" si="0"/>
        <v>11.666666666666666</v>
      </c>
      <c r="D14" s="6">
        <f t="shared" si="2"/>
        <v>10.555555555555555</v>
      </c>
      <c r="E14" s="6">
        <f t="shared" si="3"/>
        <v>12.777777777777777</v>
      </c>
      <c r="F14" s="6">
        <f t="shared" si="4"/>
        <v>1.1111111111111107</v>
      </c>
      <c r="G14" s="6">
        <f t="shared" si="8"/>
        <v>17.222222222222221</v>
      </c>
      <c r="H14" s="6">
        <f t="shared" si="9"/>
        <v>-12.222222222222221</v>
      </c>
      <c r="I14" s="6">
        <f t="shared" si="10"/>
        <v>12.222222222222221</v>
      </c>
      <c r="J14" s="6">
        <f t="shared" si="11"/>
        <v>149.38271604938271</v>
      </c>
      <c r="K14" s="7">
        <f t="shared" si="12"/>
        <v>2.4444444444444442</v>
      </c>
      <c r="O14" s="5">
        <v>11</v>
      </c>
      <c r="P14" s="5">
        <v>81.900000000000006</v>
      </c>
      <c r="Q14" s="6">
        <f t="shared" si="1"/>
        <v>84.86666666666666</v>
      </c>
      <c r="R14" s="6">
        <f t="shared" si="5"/>
        <v>83.977777777777774</v>
      </c>
      <c r="S14" s="6">
        <f t="shared" si="6"/>
        <v>85.755555555555546</v>
      </c>
      <c r="T14" s="6">
        <f t="shared" si="7"/>
        <v>0.88888888888888573</v>
      </c>
      <c r="U14" s="6">
        <f t="shared" si="13"/>
        <v>87.999999999999986</v>
      </c>
      <c r="V14" s="6">
        <f t="shared" si="14"/>
        <v>-6.0999999999999801</v>
      </c>
      <c r="W14" s="6">
        <f t="shared" si="15"/>
        <v>6.0999999999999801</v>
      </c>
      <c r="X14" s="6">
        <f t="shared" si="16"/>
        <v>37.209999999999759</v>
      </c>
      <c r="Y14" s="7">
        <f t="shared" si="17"/>
        <v>7.448107448107423E-2</v>
      </c>
    </row>
    <row r="15" spans="1:25" x14ac:dyDescent="0.3">
      <c r="A15" s="5">
        <v>12</v>
      </c>
      <c r="B15" s="6">
        <v>20</v>
      </c>
      <c r="C15" s="6">
        <f t="shared" si="0"/>
        <v>13.333333333333334</v>
      </c>
      <c r="D15" s="6">
        <f t="shared" si="2"/>
        <v>12.222222222222221</v>
      </c>
      <c r="E15" s="6">
        <f t="shared" si="3"/>
        <v>14.444444444444446</v>
      </c>
      <c r="F15" s="6">
        <f t="shared" si="4"/>
        <v>1.1111111111111125</v>
      </c>
      <c r="G15" s="6">
        <f t="shared" si="8"/>
        <v>13.888888888888888</v>
      </c>
      <c r="H15" s="6">
        <f t="shared" si="9"/>
        <v>6.1111111111111125</v>
      </c>
      <c r="I15" s="6">
        <f t="shared" si="10"/>
        <v>6.1111111111111125</v>
      </c>
      <c r="J15" s="6">
        <f t="shared" si="11"/>
        <v>37.345679012345698</v>
      </c>
      <c r="K15" s="7">
        <f t="shared" si="12"/>
        <v>0.30555555555555564</v>
      </c>
      <c r="O15" s="5">
        <v>12</v>
      </c>
      <c r="P15" s="5">
        <v>90.6</v>
      </c>
      <c r="Q15" s="6">
        <f t="shared" si="1"/>
        <v>86.266666666666652</v>
      </c>
      <c r="R15" s="6">
        <f t="shared" si="5"/>
        <v>85.24444444444444</v>
      </c>
      <c r="S15" s="6">
        <f t="shared" si="6"/>
        <v>87.288888888888863</v>
      </c>
      <c r="T15" s="6">
        <f t="shared" si="7"/>
        <v>1.0222222222222115</v>
      </c>
      <c r="U15" s="6">
        <f t="shared" si="13"/>
        <v>86.644444444444431</v>
      </c>
      <c r="V15" s="6">
        <f t="shared" si="14"/>
        <v>3.9555555555555628</v>
      </c>
      <c r="W15" s="6">
        <f t="shared" si="15"/>
        <v>3.9555555555555628</v>
      </c>
      <c r="X15" s="6">
        <f t="shared" si="16"/>
        <v>15.646419753086477</v>
      </c>
      <c r="Y15" s="7">
        <f t="shared" si="17"/>
        <v>4.3659553593328508E-2</v>
      </c>
    </row>
    <row r="16" spans="1:25" x14ac:dyDescent="0.3">
      <c r="A16" s="5">
        <v>13</v>
      </c>
      <c r="B16" s="6">
        <v>15</v>
      </c>
      <c r="C16" s="6">
        <f t="shared" si="0"/>
        <v>13.333333333333334</v>
      </c>
      <c r="D16" s="6">
        <f t="shared" si="2"/>
        <v>12.777777777777779</v>
      </c>
      <c r="E16" s="6">
        <f t="shared" si="3"/>
        <v>13.888888888888889</v>
      </c>
      <c r="F16" s="6">
        <f t="shared" si="4"/>
        <v>0.55555555555555536</v>
      </c>
      <c r="G16" s="6">
        <f t="shared" si="8"/>
        <v>15.555555555555559</v>
      </c>
      <c r="H16" s="6">
        <f t="shared" si="9"/>
        <v>-0.55555555555555891</v>
      </c>
      <c r="I16" s="6">
        <f t="shared" si="10"/>
        <v>0.55555555555555891</v>
      </c>
      <c r="J16" s="6">
        <f t="shared" si="11"/>
        <v>0.30864197530864568</v>
      </c>
      <c r="K16" s="7">
        <f t="shared" si="12"/>
        <v>3.7037037037037264E-2</v>
      </c>
      <c r="O16" s="5">
        <v>13</v>
      </c>
      <c r="P16" s="5">
        <v>91.4</v>
      </c>
      <c r="Q16" s="6">
        <f t="shared" si="1"/>
        <v>87.966666666666654</v>
      </c>
      <c r="R16" s="6">
        <f t="shared" si="5"/>
        <v>86.36666666666666</v>
      </c>
      <c r="S16" s="6">
        <f t="shared" si="6"/>
        <v>89.566666666666649</v>
      </c>
      <c r="T16" s="6">
        <f t="shared" si="7"/>
        <v>1.5999999999999943</v>
      </c>
      <c r="U16" s="6">
        <f t="shared" si="13"/>
        <v>88.311111111111074</v>
      </c>
      <c r="V16" s="6">
        <f t="shared" si="14"/>
        <v>3.0888888888889312</v>
      </c>
      <c r="W16" s="6">
        <f t="shared" si="15"/>
        <v>3.0888888888889312</v>
      </c>
      <c r="X16" s="6">
        <f t="shared" si="16"/>
        <v>9.5412345679014958</v>
      </c>
      <c r="Y16" s="7">
        <f t="shared" si="17"/>
        <v>3.3795283248237759E-2</v>
      </c>
    </row>
    <row r="17" spans="1:25" x14ac:dyDescent="0.3">
      <c r="A17" s="5">
        <v>14</v>
      </c>
      <c r="B17" s="6">
        <v>5</v>
      </c>
      <c r="C17" s="6">
        <f t="shared" si="0"/>
        <v>13.333333333333334</v>
      </c>
      <c r="D17" s="6">
        <f t="shared" si="2"/>
        <v>13.333333333333334</v>
      </c>
      <c r="E17" s="6">
        <f t="shared" si="3"/>
        <v>13.333333333333334</v>
      </c>
      <c r="F17" s="6">
        <f t="shared" si="4"/>
        <v>0</v>
      </c>
      <c r="G17" s="6">
        <f t="shared" si="8"/>
        <v>14.444444444444445</v>
      </c>
      <c r="H17" s="6">
        <f t="shared" si="9"/>
        <v>-9.4444444444444446</v>
      </c>
      <c r="I17" s="6">
        <f t="shared" si="10"/>
        <v>9.4444444444444446</v>
      </c>
      <c r="J17" s="6">
        <f t="shared" si="11"/>
        <v>89.197530864197532</v>
      </c>
      <c r="K17" s="7">
        <f t="shared" si="12"/>
        <v>1.8888888888888888</v>
      </c>
      <c r="O17" s="5">
        <v>14</v>
      </c>
      <c r="P17" s="5">
        <v>88.5</v>
      </c>
      <c r="Q17" s="6">
        <f t="shared" si="1"/>
        <v>90.166666666666671</v>
      </c>
      <c r="R17" s="6">
        <f t="shared" si="5"/>
        <v>88.133333333333326</v>
      </c>
      <c r="S17" s="6">
        <f t="shared" si="6"/>
        <v>92.200000000000017</v>
      </c>
      <c r="T17" s="6">
        <f t="shared" si="7"/>
        <v>2.0333333333333456</v>
      </c>
      <c r="U17" s="6">
        <f t="shared" si="13"/>
        <v>91.166666666666643</v>
      </c>
      <c r="V17" s="6">
        <f t="shared" si="14"/>
        <v>-2.666666666666643</v>
      </c>
      <c r="W17" s="6">
        <f t="shared" si="15"/>
        <v>2.666666666666643</v>
      </c>
      <c r="X17" s="6">
        <f t="shared" si="16"/>
        <v>7.1111111111109846</v>
      </c>
      <c r="Y17" s="7">
        <f t="shared" si="17"/>
        <v>3.0131826741995965E-2</v>
      </c>
    </row>
    <row r="18" spans="1:25" x14ac:dyDescent="0.3">
      <c r="A18" s="5">
        <v>15</v>
      </c>
      <c r="B18" s="6">
        <v>10</v>
      </c>
      <c r="C18" s="6">
        <f t="shared" si="0"/>
        <v>10</v>
      </c>
      <c r="D18" s="6">
        <f t="shared" si="2"/>
        <v>12.222222222222223</v>
      </c>
      <c r="E18" s="6">
        <f t="shared" si="3"/>
        <v>7.7777777777777768</v>
      </c>
      <c r="F18" s="6">
        <f t="shared" si="4"/>
        <v>-2.2222222222222232</v>
      </c>
      <c r="G18" s="6">
        <f t="shared" si="8"/>
        <v>13.333333333333334</v>
      </c>
      <c r="H18" s="6">
        <f t="shared" si="9"/>
        <v>-3.3333333333333339</v>
      </c>
      <c r="I18" s="6">
        <f t="shared" si="10"/>
        <v>3.3333333333333339</v>
      </c>
      <c r="J18" s="6">
        <f t="shared" si="11"/>
        <v>11.111111111111114</v>
      </c>
      <c r="K18" s="7">
        <f t="shared" si="12"/>
        <v>0.33333333333333337</v>
      </c>
      <c r="O18" s="5">
        <v>15</v>
      </c>
      <c r="P18" s="5">
        <v>93.5</v>
      </c>
      <c r="Q18" s="6">
        <f t="shared" si="1"/>
        <v>91.133333333333326</v>
      </c>
      <c r="R18" s="6">
        <f t="shared" si="5"/>
        <v>89.755555555555546</v>
      </c>
      <c r="S18" s="6">
        <f t="shared" si="6"/>
        <v>92.511111111111106</v>
      </c>
      <c r="T18" s="6">
        <f t="shared" si="7"/>
        <v>1.37777777777778</v>
      </c>
      <c r="U18" s="6">
        <f t="shared" si="13"/>
        <v>94.233333333333363</v>
      </c>
      <c r="V18" s="6">
        <f t="shared" si="14"/>
        <v>-0.7333333333333627</v>
      </c>
      <c r="W18" s="6">
        <f t="shared" si="15"/>
        <v>0.7333333333333627</v>
      </c>
      <c r="X18" s="6">
        <f t="shared" si="16"/>
        <v>0.53777777777782088</v>
      </c>
      <c r="Y18" s="7">
        <f t="shared" si="17"/>
        <v>7.8431372549022747E-3</v>
      </c>
    </row>
    <row r="19" spans="1:25" x14ac:dyDescent="0.3">
      <c r="A19" s="5">
        <v>16</v>
      </c>
      <c r="B19" s="6">
        <v>25</v>
      </c>
      <c r="C19" s="6">
        <f t="shared" si="0"/>
        <v>13.333333333333334</v>
      </c>
      <c r="D19" s="6">
        <f t="shared" si="2"/>
        <v>12.222222222222223</v>
      </c>
      <c r="E19" s="6">
        <f t="shared" si="3"/>
        <v>14.444444444444445</v>
      </c>
      <c r="F19" s="6">
        <f t="shared" si="4"/>
        <v>1.1111111111111107</v>
      </c>
      <c r="G19" s="6">
        <f t="shared" si="8"/>
        <v>5.5555555555555536</v>
      </c>
      <c r="H19" s="6">
        <f t="shared" si="9"/>
        <v>19.444444444444446</v>
      </c>
      <c r="I19" s="6">
        <f t="shared" si="10"/>
        <v>19.444444444444446</v>
      </c>
      <c r="J19" s="6">
        <f t="shared" si="11"/>
        <v>378.08641975308649</v>
      </c>
      <c r="K19" s="7">
        <f t="shared" si="12"/>
        <v>0.7777777777777779</v>
      </c>
      <c r="O19" s="5">
        <v>16</v>
      </c>
      <c r="P19" s="5">
        <v>105</v>
      </c>
      <c r="Q19" s="6">
        <f t="shared" si="1"/>
        <v>95.666666666666671</v>
      </c>
      <c r="R19" s="6">
        <f t="shared" si="5"/>
        <v>92.322222222222237</v>
      </c>
      <c r="S19" s="6">
        <f t="shared" si="6"/>
        <v>99.011111111111106</v>
      </c>
      <c r="T19" s="6">
        <f t="shared" si="7"/>
        <v>3.3444444444444343</v>
      </c>
      <c r="U19" s="6">
        <f t="shared" si="13"/>
        <v>93.888888888888886</v>
      </c>
      <c r="V19" s="6">
        <f t="shared" si="14"/>
        <v>11.111111111111114</v>
      </c>
      <c r="W19" s="6">
        <f t="shared" si="15"/>
        <v>11.111111111111114</v>
      </c>
      <c r="X19" s="6">
        <f t="shared" si="16"/>
        <v>123.45679012345686</v>
      </c>
      <c r="Y19" s="7">
        <f t="shared" si="17"/>
        <v>0.10582010582010586</v>
      </c>
    </row>
    <row r="20" spans="1:25" x14ac:dyDescent="0.3">
      <c r="A20" s="5">
        <v>17</v>
      </c>
      <c r="B20" s="6">
        <v>15</v>
      </c>
      <c r="C20" s="6">
        <f t="shared" si="0"/>
        <v>16.666666666666668</v>
      </c>
      <c r="D20" s="6">
        <f t="shared" si="2"/>
        <v>13.333333333333334</v>
      </c>
      <c r="E20" s="6">
        <f t="shared" si="3"/>
        <v>20</v>
      </c>
      <c r="F20" s="6">
        <f t="shared" si="4"/>
        <v>3.3333333333333339</v>
      </c>
      <c r="G20" s="6">
        <f t="shared" si="8"/>
        <v>15.555555555555555</v>
      </c>
      <c r="H20" s="6">
        <f t="shared" si="9"/>
        <v>-0.55555555555555536</v>
      </c>
      <c r="I20" s="6">
        <f t="shared" si="10"/>
        <v>0.55555555555555536</v>
      </c>
      <c r="J20" s="6">
        <f t="shared" si="11"/>
        <v>0.30864197530864174</v>
      </c>
      <c r="K20" s="7">
        <f t="shared" si="12"/>
        <v>3.7037037037037021E-2</v>
      </c>
      <c r="O20" s="5">
        <v>17</v>
      </c>
      <c r="P20" s="5">
        <v>103.5</v>
      </c>
      <c r="Q20" s="6">
        <f t="shared" si="1"/>
        <v>100.66666666666667</v>
      </c>
      <c r="R20" s="6">
        <f t="shared" si="5"/>
        <v>95.822222222222237</v>
      </c>
      <c r="S20" s="6">
        <f t="shared" si="6"/>
        <v>105.51111111111111</v>
      </c>
      <c r="T20" s="6">
        <f t="shared" si="7"/>
        <v>4.8444444444444343</v>
      </c>
      <c r="U20" s="6">
        <f t="shared" si="13"/>
        <v>102.35555555555554</v>
      </c>
      <c r="V20" s="6">
        <f t="shared" si="14"/>
        <v>1.1444444444444599</v>
      </c>
      <c r="W20" s="6">
        <f t="shared" si="15"/>
        <v>1.1444444444444599</v>
      </c>
      <c r="X20" s="6">
        <f t="shared" si="16"/>
        <v>1.3097530864197886</v>
      </c>
      <c r="Y20" s="7">
        <f t="shared" si="17"/>
        <v>1.1057434245840192E-2</v>
      </c>
    </row>
    <row r="21" spans="1:25" x14ac:dyDescent="0.3">
      <c r="A21" s="5">
        <v>18</v>
      </c>
      <c r="B21" s="6">
        <v>5</v>
      </c>
      <c r="C21" s="6">
        <f t="shared" si="0"/>
        <v>15</v>
      </c>
      <c r="D21" s="6">
        <f t="shared" si="2"/>
        <v>15</v>
      </c>
      <c r="E21" s="6">
        <f t="shared" si="3"/>
        <v>15</v>
      </c>
      <c r="F21" s="6">
        <f t="shared" si="4"/>
        <v>0</v>
      </c>
      <c r="G21" s="6">
        <f t="shared" si="8"/>
        <v>23.333333333333336</v>
      </c>
      <c r="H21" s="6">
        <f t="shared" si="9"/>
        <v>-18.333333333333336</v>
      </c>
      <c r="I21" s="6">
        <f t="shared" si="10"/>
        <v>18.333333333333336</v>
      </c>
      <c r="J21" s="6">
        <f t="shared" si="11"/>
        <v>336.1111111111112</v>
      </c>
      <c r="K21" s="7">
        <f t="shared" si="12"/>
        <v>3.666666666666667</v>
      </c>
      <c r="O21" s="5">
        <v>18</v>
      </c>
      <c r="P21" s="5">
        <v>99.6</v>
      </c>
      <c r="Q21" s="6">
        <f t="shared" si="1"/>
        <v>102.7</v>
      </c>
      <c r="R21" s="6">
        <f t="shared" si="5"/>
        <v>99.677777777777791</v>
      </c>
      <c r="S21" s="6">
        <f t="shared" si="6"/>
        <v>105.72222222222221</v>
      </c>
      <c r="T21" s="6">
        <f t="shared" si="7"/>
        <v>3.0222222222222115</v>
      </c>
      <c r="U21" s="6">
        <f t="shared" si="13"/>
        <v>110.35555555555554</v>
      </c>
      <c r="V21" s="6">
        <f t="shared" si="14"/>
        <v>-10.755555555555546</v>
      </c>
      <c r="W21" s="6">
        <f t="shared" si="15"/>
        <v>10.755555555555546</v>
      </c>
      <c r="X21" s="6">
        <f t="shared" si="16"/>
        <v>115.68197530864177</v>
      </c>
      <c r="Y21" s="7">
        <f t="shared" si="17"/>
        <v>0.10798750557786693</v>
      </c>
    </row>
    <row r="22" spans="1:25" x14ac:dyDescent="0.3">
      <c r="A22" s="5">
        <v>19</v>
      </c>
      <c r="B22" s="6">
        <v>15</v>
      </c>
      <c r="C22" s="6">
        <f t="shared" si="0"/>
        <v>11.666666666666666</v>
      </c>
      <c r="D22" s="6">
        <f t="shared" si="2"/>
        <v>14.444444444444445</v>
      </c>
      <c r="E22" s="6">
        <f t="shared" si="3"/>
        <v>8.8888888888888875</v>
      </c>
      <c r="F22" s="6">
        <f t="shared" si="4"/>
        <v>-2.7777777777777786</v>
      </c>
      <c r="G22" s="6">
        <f t="shared" si="8"/>
        <v>15</v>
      </c>
      <c r="H22" s="6">
        <f t="shared" si="9"/>
        <v>0</v>
      </c>
      <c r="I22" s="6">
        <f t="shared" si="10"/>
        <v>0</v>
      </c>
      <c r="J22" s="6">
        <f t="shared" si="11"/>
        <v>0</v>
      </c>
      <c r="K22" s="7">
        <f t="shared" si="12"/>
        <v>0</v>
      </c>
      <c r="O22" s="5">
        <v>19</v>
      </c>
      <c r="P22" s="5">
        <v>107.1</v>
      </c>
      <c r="Q22" s="6">
        <f t="shared" si="1"/>
        <v>103.39999999999999</v>
      </c>
      <c r="R22" s="6">
        <f t="shared" si="5"/>
        <v>102.25555555555555</v>
      </c>
      <c r="S22" s="6">
        <f t="shared" si="6"/>
        <v>104.54444444444444</v>
      </c>
      <c r="T22" s="6">
        <f t="shared" si="7"/>
        <v>1.1444444444444457</v>
      </c>
      <c r="U22" s="6">
        <f t="shared" si="13"/>
        <v>108.74444444444443</v>
      </c>
      <c r="V22" s="6">
        <f t="shared" si="14"/>
        <v>-1.6444444444444315</v>
      </c>
      <c r="W22" s="6">
        <f t="shared" si="15"/>
        <v>1.6444444444444315</v>
      </c>
      <c r="X22" s="6">
        <f t="shared" si="16"/>
        <v>2.704197530864155</v>
      </c>
      <c r="Y22" s="7">
        <f t="shared" si="17"/>
        <v>1.5354289864093665E-2</v>
      </c>
    </row>
    <row r="23" spans="1:25" x14ac:dyDescent="0.3">
      <c r="A23" s="5">
        <v>20</v>
      </c>
      <c r="B23" s="6">
        <v>20</v>
      </c>
      <c r="C23" s="6">
        <f t="shared" si="0"/>
        <v>13.333333333333334</v>
      </c>
      <c r="D23" s="6">
        <f t="shared" si="2"/>
        <v>13.333333333333334</v>
      </c>
      <c r="E23" s="6">
        <f t="shared" si="3"/>
        <v>13.333333333333334</v>
      </c>
      <c r="F23" s="6">
        <f t="shared" si="4"/>
        <v>0</v>
      </c>
      <c r="G23" s="6">
        <f t="shared" si="8"/>
        <v>6.1111111111111089</v>
      </c>
      <c r="H23" s="6">
        <f t="shared" si="9"/>
        <v>13.888888888888891</v>
      </c>
      <c r="I23" s="6">
        <f t="shared" si="10"/>
        <v>13.888888888888891</v>
      </c>
      <c r="J23" s="6">
        <f t="shared" si="11"/>
        <v>192.9012345679013</v>
      </c>
      <c r="K23" s="7">
        <f t="shared" si="12"/>
        <v>0.69444444444444453</v>
      </c>
      <c r="O23" s="5">
        <v>20</v>
      </c>
      <c r="P23" s="5">
        <v>110.9</v>
      </c>
      <c r="Q23" s="6">
        <f t="shared" si="1"/>
        <v>105.86666666666667</v>
      </c>
      <c r="R23" s="6">
        <f t="shared" si="5"/>
        <v>103.98888888888889</v>
      </c>
      <c r="S23" s="6">
        <f t="shared" si="6"/>
        <v>107.74444444444445</v>
      </c>
      <c r="T23" s="6">
        <f t="shared" si="7"/>
        <v>1.87777777777778</v>
      </c>
      <c r="U23" s="6">
        <f t="shared" si="13"/>
        <v>105.68888888888888</v>
      </c>
      <c r="V23" s="6">
        <f t="shared" si="14"/>
        <v>5.2111111111111228</v>
      </c>
      <c r="W23" s="6">
        <f t="shared" si="15"/>
        <v>5.2111111111111228</v>
      </c>
      <c r="X23" s="6">
        <f t="shared" si="16"/>
        <v>27.1556790123458</v>
      </c>
      <c r="Y23" s="7">
        <f t="shared" si="17"/>
        <v>4.698927963129957E-2</v>
      </c>
    </row>
    <row r="24" spans="1:25" x14ac:dyDescent="0.3">
      <c r="A24" s="5">
        <v>21</v>
      </c>
      <c r="B24" s="6">
        <v>25</v>
      </c>
      <c r="C24" s="6">
        <f t="shared" si="0"/>
        <v>20</v>
      </c>
      <c r="D24" s="6">
        <f t="shared" si="2"/>
        <v>15</v>
      </c>
      <c r="E24" s="6">
        <f t="shared" si="3"/>
        <v>25</v>
      </c>
      <c r="F24" s="6">
        <f t="shared" si="4"/>
        <v>5</v>
      </c>
      <c r="G24" s="6">
        <f t="shared" si="8"/>
        <v>13.333333333333334</v>
      </c>
      <c r="H24" s="6">
        <f t="shared" si="9"/>
        <v>11.666666666666666</v>
      </c>
      <c r="I24" s="6">
        <f t="shared" si="10"/>
        <v>11.666666666666666</v>
      </c>
      <c r="J24" s="6">
        <f t="shared" si="11"/>
        <v>136.11111111111109</v>
      </c>
      <c r="K24" s="7">
        <f t="shared" si="12"/>
        <v>0.46666666666666662</v>
      </c>
      <c r="O24" s="5">
        <v>21</v>
      </c>
      <c r="P24" s="5">
        <v>114.7</v>
      </c>
      <c r="Q24" s="6">
        <f t="shared" si="1"/>
        <v>110.89999999999999</v>
      </c>
      <c r="R24" s="6">
        <f t="shared" si="5"/>
        <v>106.72222222222221</v>
      </c>
      <c r="S24" s="6">
        <f t="shared" si="6"/>
        <v>115.07777777777777</v>
      </c>
      <c r="T24" s="6">
        <f t="shared" si="7"/>
        <v>4.1777777777777771</v>
      </c>
      <c r="U24" s="6">
        <f t="shared" si="13"/>
        <v>109.62222222222223</v>
      </c>
      <c r="V24" s="6">
        <f t="shared" si="14"/>
        <v>5.0777777777777686</v>
      </c>
      <c r="W24" s="6">
        <f t="shared" si="15"/>
        <v>5.0777777777777686</v>
      </c>
      <c r="X24" s="6">
        <f t="shared" si="16"/>
        <v>25.783827160493733</v>
      </c>
      <c r="Y24" s="7">
        <f t="shared" si="17"/>
        <v>4.427007652814096E-2</v>
      </c>
    </row>
    <row r="25" spans="1:25" x14ac:dyDescent="0.3">
      <c r="A25" s="5">
        <v>22</v>
      </c>
      <c r="B25" s="6">
        <v>15</v>
      </c>
      <c r="C25" s="6">
        <f t="shared" si="0"/>
        <v>20</v>
      </c>
      <c r="D25" s="6">
        <f t="shared" si="2"/>
        <v>17.777777777777779</v>
      </c>
      <c r="E25" s="6">
        <f t="shared" si="3"/>
        <v>22.222222222222221</v>
      </c>
      <c r="F25" s="6">
        <f t="shared" si="4"/>
        <v>2.2222222222222214</v>
      </c>
      <c r="G25" s="6">
        <f t="shared" si="8"/>
        <v>30</v>
      </c>
      <c r="H25" s="6">
        <f t="shared" si="9"/>
        <v>-15</v>
      </c>
      <c r="I25" s="6">
        <f t="shared" si="10"/>
        <v>15</v>
      </c>
      <c r="J25" s="6">
        <f t="shared" si="11"/>
        <v>225</v>
      </c>
      <c r="K25" s="7">
        <f t="shared" si="12"/>
        <v>1</v>
      </c>
      <c r="O25" s="5">
        <v>22</v>
      </c>
      <c r="P25" s="5">
        <v>112.1</v>
      </c>
      <c r="Q25" s="6">
        <f t="shared" si="1"/>
        <v>112.56666666666668</v>
      </c>
      <c r="R25" s="6">
        <f t="shared" si="5"/>
        <v>109.77777777777777</v>
      </c>
      <c r="S25" s="6">
        <f t="shared" si="6"/>
        <v>115.35555555555558</v>
      </c>
      <c r="T25" s="6">
        <f t="shared" si="7"/>
        <v>2.7888888888889056</v>
      </c>
      <c r="U25" s="6">
        <f t="shared" si="13"/>
        <v>119.25555555555555</v>
      </c>
      <c r="V25" s="6">
        <f t="shared" si="14"/>
        <v>-7.1555555555555515</v>
      </c>
      <c r="W25" s="6">
        <f t="shared" si="15"/>
        <v>7.1555555555555515</v>
      </c>
      <c r="X25" s="6">
        <f t="shared" si="16"/>
        <v>51.20197530864192</v>
      </c>
      <c r="Y25" s="7">
        <f t="shared" si="17"/>
        <v>6.3831896124491985E-2</v>
      </c>
    </row>
    <row r="26" spans="1:25" x14ac:dyDescent="0.3">
      <c r="A26" s="5">
        <v>23</v>
      </c>
      <c r="B26" s="6">
        <v>0</v>
      </c>
      <c r="C26" s="6">
        <f t="shared" si="0"/>
        <v>13.333333333333334</v>
      </c>
      <c r="D26" s="6">
        <f t="shared" si="2"/>
        <v>17.777777777777779</v>
      </c>
      <c r="E26" s="6">
        <f t="shared" si="3"/>
        <v>8.8888888888888893</v>
      </c>
      <c r="F26" s="6">
        <f t="shared" si="4"/>
        <v>-4.4444444444444446</v>
      </c>
      <c r="G26" s="6">
        <f t="shared" si="8"/>
        <v>24.444444444444443</v>
      </c>
      <c r="H26" s="6">
        <f t="shared" si="9"/>
        <v>-24.444444444444443</v>
      </c>
      <c r="I26" s="6">
        <f t="shared" si="10"/>
        <v>24.444444444444443</v>
      </c>
      <c r="J26" s="6">
        <f t="shared" si="11"/>
        <v>597.53086419753083</v>
      </c>
      <c r="K26" s="7" t="str">
        <f t="shared" si="12"/>
        <v/>
      </c>
      <c r="O26" s="5">
        <v>23</v>
      </c>
      <c r="P26" s="5">
        <v>105.5</v>
      </c>
      <c r="Q26" s="6">
        <f t="shared" si="1"/>
        <v>110.76666666666667</v>
      </c>
      <c r="R26" s="6">
        <f t="shared" si="5"/>
        <v>111.41111111111111</v>
      </c>
      <c r="S26" s="6">
        <f t="shared" si="6"/>
        <v>110.12222222222222</v>
      </c>
      <c r="T26" s="6">
        <f t="shared" si="7"/>
        <v>-0.64444444444444571</v>
      </c>
      <c r="U26" s="6">
        <f t="shared" si="13"/>
        <v>118.14444444444449</v>
      </c>
      <c r="V26" s="6">
        <f t="shared" si="14"/>
        <v>-12.644444444444488</v>
      </c>
      <c r="W26" s="6">
        <f t="shared" si="15"/>
        <v>12.644444444444488</v>
      </c>
      <c r="X26" s="17">
        <f t="shared" si="16"/>
        <v>159.88197530864309</v>
      </c>
      <c r="Y26" s="18">
        <f t="shared" si="17"/>
        <v>0.11985255397577714</v>
      </c>
    </row>
    <row r="27" spans="1:25" x14ac:dyDescent="0.3">
      <c r="A27" s="5">
        <v>24</v>
      </c>
      <c r="B27" s="6">
        <v>5</v>
      </c>
      <c r="C27" s="6">
        <f t="shared" si="0"/>
        <v>6.666666666666667</v>
      </c>
      <c r="D27" s="6">
        <f t="shared" si="2"/>
        <v>13.333333333333334</v>
      </c>
      <c r="E27" s="6">
        <f t="shared" si="3"/>
        <v>0</v>
      </c>
      <c r="F27" s="6">
        <f t="shared" si="4"/>
        <v>-6.666666666666667</v>
      </c>
      <c r="G27" s="6">
        <f t="shared" si="8"/>
        <v>4.4444444444444446</v>
      </c>
      <c r="H27" s="6">
        <f t="shared" si="9"/>
        <v>0.55555555555555536</v>
      </c>
      <c r="I27" s="6">
        <f t="shared" si="10"/>
        <v>0.55555555555555536</v>
      </c>
      <c r="J27" s="6">
        <f t="shared" si="11"/>
        <v>0.30864197530864174</v>
      </c>
      <c r="K27" s="7">
        <f t="shared" si="12"/>
        <v>0.11111111111111108</v>
      </c>
      <c r="O27" s="5">
        <v>24</v>
      </c>
      <c r="P27" s="5">
        <v>110.9</v>
      </c>
      <c r="Q27" s="6">
        <f t="shared" si="1"/>
        <v>109.5</v>
      </c>
      <c r="R27" s="6">
        <f t="shared" si="5"/>
        <v>110.94444444444446</v>
      </c>
      <c r="S27" s="6">
        <f t="shared" si="6"/>
        <v>108.05555555555554</v>
      </c>
      <c r="T27" s="6">
        <f t="shared" si="7"/>
        <v>-1.4444444444444571</v>
      </c>
      <c r="U27" s="6">
        <f t="shared" si="13"/>
        <v>109.47777777777777</v>
      </c>
      <c r="V27" s="6">
        <f t="shared" si="14"/>
        <v>1.4222222222222314</v>
      </c>
      <c r="W27" s="19">
        <f t="shared" si="15"/>
        <v>1.4222222222222314</v>
      </c>
      <c r="X27" s="6">
        <f t="shared" si="16"/>
        <v>2.0227160493827423</v>
      </c>
      <c r="Y27" s="7">
        <f t="shared" si="17"/>
        <v>1.2824366295962411E-2</v>
      </c>
    </row>
    <row r="28" spans="1:25" x14ac:dyDescent="0.3">
      <c r="G28" s="6">
        <f t="shared" si="8"/>
        <v>-6.666666666666667</v>
      </c>
      <c r="H28" s="20"/>
      <c r="I28" s="20"/>
      <c r="J28" s="20"/>
      <c r="K28" s="21"/>
      <c r="U28" s="6">
        <f t="shared" si="13"/>
        <v>106.61111111111109</v>
      </c>
      <c r="X28" s="20"/>
      <c r="Y28" s="21"/>
    </row>
    <row r="30" spans="1:25" x14ac:dyDescent="0.3">
      <c r="O30" s="11" t="s">
        <v>15</v>
      </c>
      <c r="P30" s="12">
        <f>AVERAGE(W9:W27)</f>
        <v>5.0947368421052692</v>
      </c>
    </row>
    <row r="31" spans="1:25" x14ac:dyDescent="0.3">
      <c r="A31" s="11" t="s">
        <v>15</v>
      </c>
      <c r="B31" s="12">
        <f>AVERAGE(I9:I27)</f>
        <v>9.6783625730994132</v>
      </c>
      <c r="O31" s="11" t="s">
        <v>11</v>
      </c>
      <c r="P31" s="12">
        <f>AVERAGE(X9:X27)</f>
        <v>38.349161793372375</v>
      </c>
    </row>
    <row r="32" spans="1:25" x14ac:dyDescent="0.3">
      <c r="A32" s="11" t="s">
        <v>11</v>
      </c>
      <c r="B32" s="12">
        <f>AVERAGE(J9:J27)</f>
        <v>142.51137102014295</v>
      </c>
      <c r="O32" s="11" t="s">
        <v>16</v>
      </c>
      <c r="P32" s="11">
        <f>SQRT(P31)</f>
        <v>6.1926700052055397</v>
      </c>
    </row>
    <row r="33" spans="1:16" x14ac:dyDescent="0.3">
      <c r="A33" s="11" t="s">
        <v>16</v>
      </c>
      <c r="B33" s="11">
        <f>SQRT(B32)</f>
        <v>11.937812656435137</v>
      </c>
      <c r="O33" s="11" t="s">
        <v>12</v>
      </c>
      <c r="P33" s="15">
        <f>AVERAGE(Y9:Y27)</f>
        <v>5.2908539634550722E-2</v>
      </c>
    </row>
    <row r="34" spans="1:16" x14ac:dyDescent="0.3">
      <c r="A34" s="11" t="s">
        <v>12</v>
      </c>
      <c r="B34" s="15">
        <f>AVERAGE(K9:K27)</f>
        <v>0.95493827160493838</v>
      </c>
    </row>
  </sheetData>
  <mergeCells count="1">
    <mergeCell ref="A1:B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5"/>
  <sheetViews>
    <sheetView topLeftCell="A15" zoomScaleNormal="100" workbookViewId="0">
      <selection activeCell="A32" sqref="A32"/>
    </sheetView>
  </sheetViews>
  <sheetFormatPr defaultColWidth="8.6640625" defaultRowHeight="14.25" customHeight="1" x14ac:dyDescent="0.3"/>
  <sheetData>
    <row r="1" spans="1:16" x14ac:dyDescent="0.3">
      <c r="A1" t="s">
        <v>29</v>
      </c>
      <c r="C1">
        <v>0.2</v>
      </c>
      <c r="J1" t="s">
        <v>30</v>
      </c>
      <c r="L1">
        <v>0.2</v>
      </c>
    </row>
    <row r="3" spans="1:16" x14ac:dyDescent="0.3">
      <c r="A3" t="s">
        <v>31</v>
      </c>
      <c r="J3" t="s">
        <v>32</v>
      </c>
    </row>
    <row r="4" spans="1:16" x14ac:dyDescent="0.3">
      <c r="A4" s="3" t="s">
        <v>0</v>
      </c>
      <c r="B4" s="3" t="s">
        <v>7</v>
      </c>
      <c r="C4" s="3" t="s">
        <v>8</v>
      </c>
      <c r="D4" s="3" t="s">
        <v>25</v>
      </c>
      <c r="E4" s="3" t="s">
        <v>26</v>
      </c>
      <c r="F4" s="3" t="s">
        <v>27</v>
      </c>
      <c r="G4" s="3" t="s">
        <v>28</v>
      </c>
      <c r="J4" s="3" t="s">
        <v>0</v>
      </c>
      <c r="K4" s="3" t="s">
        <v>7</v>
      </c>
      <c r="L4" s="3" t="s">
        <v>8</v>
      </c>
      <c r="M4" s="3" t="s">
        <v>25</v>
      </c>
      <c r="N4" s="3" t="s">
        <v>26</v>
      </c>
      <c r="O4" s="3" t="s">
        <v>27</v>
      </c>
      <c r="P4" s="3" t="s">
        <v>28</v>
      </c>
    </row>
    <row r="5" spans="1:16" x14ac:dyDescent="0.3">
      <c r="A5" s="5">
        <v>1</v>
      </c>
      <c r="B5" s="5">
        <v>25</v>
      </c>
      <c r="C5" s="6">
        <f>B5</f>
        <v>25</v>
      </c>
      <c r="D5" s="6">
        <f t="shared" ref="D5:D28" si="0">B5-C5</f>
        <v>0</v>
      </c>
      <c r="E5" s="6">
        <f t="shared" ref="E5:E28" si="1">ABS(D5)</f>
        <v>0</v>
      </c>
      <c r="F5" s="6">
        <f t="shared" ref="F5:F28" si="2">D5^2</f>
        <v>0</v>
      </c>
      <c r="G5" s="7">
        <f t="shared" ref="G5:G28" si="3">IF(B5=0,"",E5/B5)</f>
        <v>0</v>
      </c>
      <c r="J5" s="5">
        <v>1</v>
      </c>
      <c r="K5" s="5">
        <v>92.8</v>
      </c>
      <c r="L5" s="6">
        <f>K5</f>
        <v>92.8</v>
      </c>
      <c r="M5" s="6">
        <f t="shared" ref="M5:M28" si="4">K5-L5</f>
        <v>0</v>
      </c>
      <c r="N5" s="6">
        <f t="shared" ref="N5:N28" si="5">ABS(M5)</f>
        <v>0</v>
      </c>
      <c r="O5" s="6">
        <f t="shared" ref="O5:O28" si="6">M5^2</f>
        <v>0</v>
      </c>
      <c r="P5" s="7">
        <f t="shared" ref="P5:P28" si="7">N5/K5</f>
        <v>0</v>
      </c>
    </row>
    <row r="6" spans="1:16" x14ac:dyDescent="0.3">
      <c r="A6" s="5">
        <v>2</v>
      </c>
      <c r="B6" s="5">
        <v>0</v>
      </c>
      <c r="C6" s="6">
        <f t="shared" ref="C6:C28" si="8">$C$1*B5+(1-$C$1)*C5</f>
        <v>25</v>
      </c>
      <c r="D6" s="6">
        <f t="shared" si="0"/>
        <v>-25</v>
      </c>
      <c r="E6" s="6">
        <f t="shared" si="1"/>
        <v>25</v>
      </c>
      <c r="F6" s="6">
        <f t="shared" si="2"/>
        <v>625</v>
      </c>
      <c r="G6" s="7" t="str">
        <f t="shared" si="3"/>
        <v/>
      </c>
      <c r="J6" s="5">
        <v>2</v>
      </c>
      <c r="K6" s="5">
        <v>79.2</v>
      </c>
      <c r="L6" s="6">
        <f t="shared" ref="L6:L28" si="9">$C$1*K5+(1-$C$1)*L5</f>
        <v>92.8</v>
      </c>
      <c r="M6" s="6">
        <f t="shared" si="4"/>
        <v>-13.599999999999994</v>
      </c>
      <c r="N6" s="6">
        <f t="shared" si="5"/>
        <v>13.599999999999994</v>
      </c>
      <c r="O6" s="6">
        <f t="shared" si="6"/>
        <v>184.95999999999984</v>
      </c>
      <c r="P6" s="7">
        <f t="shared" si="7"/>
        <v>0.17171717171717163</v>
      </c>
    </row>
    <row r="7" spans="1:16" x14ac:dyDescent="0.3">
      <c r="A7" s="5">
        <v>3</v>
      </c>
      <c r="B7" s="5">
        <v>15</v>
      </c>
      <c r="C7" s="6">
        <f t="shared" si="8"/>
        <v>20</v>
      </c>
      <c r="D7" s="6">
        <f t="shared" si="0"/>
        <v>-5</v>
      </c>
      <c r="E7" s="6">
        <f t="shared" si="1"/>
        <v>5</v>
      </c>
      <c r="F7" s="6">
        <f t="shared" si="2"/>
        <v>25</v>
      </c>
      <c r="G7" s="7">
        <f t="shared" si="3"/>
        <v>0.33333333333333331</v>
      </c>
      <c r="J7" s="5">
        <v>3</v>
      </c>
      <c r="K7" s="5">
        <v>84.5</v>
      </c>
      <c r="L7" s="6">
        <f t="shared" si="9"/>
        <v>90.08</v>
      </c>
      <c r="M7" s="6">
        <f t="shared" si="4"/>
        <v>-5.5799999999999983</v>
      </c>
      <c r="N7" s="6">
        <f t="shared" si="5"/>
        <v>5.5799999999999983</v>
      </c>
      <c r="O7" s="6">
        <f t="shared" si="6"/>
        <v>31.136399999999981</v>
      </c>
      <c r="P7" s="7">
        <f t="shared" si="7"/>
        <v>6.6035502958579864E-2</v>
      </c>
    </row>
    <row r="8" spans="1:16" x14ac:dyDescent="0.3">
      <c r="A8" s="5">
        <v>4</v>
      </c>
      <c r="B8" s="5">
        <v>10</v>
      </c>
      <c r="C8" s="6">
        <f t="shared" si="8"/>
        <v>19</v>
      </c>
      <c r="D8" s="6">
        <f t="shared" si="0"/>
        <v>-9</v>
      </c>
      <c r="E8" s="6">
        <f t="shared" si="1"/>
        <v>9</v>
      </c>
      <c r="F8" s="6">
        <f t="shared" si="2"/>
        <v>81</v>
      </c>
      <c r="G8" s="7">
        <f t="shared" si="3"/>
        <v>0.9</v>
      </c>
      <c r="J8" s="5">
        <v>4</v>
      </c>
      <c r="K8" s="5">
        <v>83</v>
      </c>
      <c r="L8" s="6">
        <f t="shared" si="9"/>
        <v>88.964000000000013</v>
      </c>
      <c r="M8" s="6">
        <f t="shared" si="4"/>
        <v>-5.9640000000000128</v>
      </c>
      <c r="N8" s="6">
        <f t="shared" si="5"/>
        <v>5.9640000000000128</v>
      </c>
      <c r="O8" s="6">
        <f t="shared" si="6"/>
        <v>35.569296000000151</v>
      </c>
      <c r="P8" s="7">
        <f t="shared" si="7"/>
        <v>7.1855421686747148E-2</v>
      </c>
    </row>
    <row r="9" spans="1:16" x14ac:dyDescent="0.3">
      <c r="A9" s="5">
        <v>5</v>
      </c>
      <c r="B9" s="5">
        <v>20</v>
      </c>
      <c r="C9" s="6">
        <f t="shared" si="8"/>
        <v>17.200000000000003</v>
      </c>
      <c r="D9" s="6">
        <f t="shared" si="0"/>
        <v>2.7999999999999972</v>
      </c>
      <c r="E9" s="6">
        <f t="shared" si="1"/>
        <v>2.7999999999999972</v>
      </c>
      <c r="F9" s="6">
        <f t="shared" si="2"/>
        <v>7.8399999999999839</v>
      </c>
      <c r="G9" s="7">
        <f t="shared" si="3"/>
        <v>0.13999999999999985</v>
      </c>
      <c r="J9" s="5">
        <v>5</v>
      </c>
      <c r="K9" s="5">
        <v>88.1</v>
      </c>
      <c r="L9" s="6">
        <f t="shared" si="9"/>
        <v>87.771200000000022</v>
      </c>
      <c r="M9" s="6">
        <f t="shared" si="4"/>
        <v>0.32879999999997267</v>
      </c>
      <c r="N9" s="6">
        <f t="shared" si="5"/>
        <v>0.32879999999997267</v>
      </c>
      <c r="O9" s="6">
        <f t="shared" si="6"/>
        <v>0.10810943999998203</v>
      </c>
      <c r="P9" s="7">
        <f t="shared" si="7"/>
        <v>3.7321225879679079E-3</v>
      </c>
    </row>
    <row r="10" spans="1:16" x14ac:dyDescent="0.3">
      <c r="A10" s="5">
        <v>6</v>
      </c>
      <c r="B10" s="5">
        <v>10</v>
      </c>
      <c r="C10" s="6">
        <f t="shared" si="8"/>
        <v>17.760000000000005</v>
      </c>
      <c r="D10" s="6">
        <f t="shared" si="0"/>
        <v>-7.7600000000000051</v>
      </c>
      <c r="E10" s="6">
        <f t="shared" si="1"/>
        <v>7.7600000000000051</v>
      </c>
      <c r="F10" s="6">
        <f t="shared" si="2"/>
        <v>60.217600000000083</v>
      </c>
      <c r="G10" s="7">
        <f t="shared" si="3"/>
        <v>0.77600000000000047</v>
      </c>
      <c r="J10" s="5">
        <v>6</v>
      </c>
      <c r="K10" s="5">
        <v>83.9</v>
      </c>
      <c r="L10" s="6">
        <f t="shared" si="9"/>
        <v>87.836960000000019</v>
      </c>
      <c r="M10" s="6">
        <f t="shared" si="4"/>
        <v>-3.9369600000000133</v>
      </c>
      <c r="N10" s="6">
        <f t="shared" si="5"/>
        <v>3.9369600000000133</v>
      </c>
      <c r="O10" s="6">
        <f t="shared" si="6"/>
        <v>15.499654041600104</v>
      </c>
      <c r="P10" s="7">
        <f t="shared" si="7"/>
        <v>4.6924433849821374E-2</v>
      </c>
    </row>
    <row r="11" spans="1:16" x14ac:dyDescent="0.3">
      <c r="A11" s="5">
        <v>7</v>
      </c>
      <c r="B11" s="5">
        <v>5</v>
      </c>
      <c r="C11" s="6">
        <f t="shared" si="8"/>
        <v>16.208000000000006</v>
      </c>
      <c r="D11" s="6">
        <f t="shared" si="0"/>
        <v>-11.208000000000006</v>
      </c>
      <c r="E11" s="6">
        <f t="shared" si="1"/>
        <v>11.208000000000006</v>
      </c>
      <c r="F11" s="6">
        <f t="shared" si="2"/>
        <v>125.61926400000013</v>
      </c>
      <c r="G11" s="7">
        <f t="shared" si="3"/>
        <v>2.2416000000000009</v>
      </c>
      <c r="J11" s="5">
        <v>7</v>
      </c>
      <c r="K11" s="5">
        <v>79.900000000000006</v>
      </c>
      <c r="L11" s="6">
        <f t="shared" si="9"/>
        <v>87.049568000000022</v>
      </c>
      <c r="M11" s="6">
        <f t="shared" si="4"/>
        <v>-7.1495680000000164</v>
      </c>
      <c r="N11" s="6">
        <f t="shared" si="5"/>
        <v>7.1495680000000164</v>
      </c>
      <c r="O11" s="6">
        <f t="shared" si="6"/>
        <v>51.116322586624236</v>
      </c>
      <c r="P11" s="7">
        <f t="shared" si="7"/>
        <v>8.9481451814768659E-2</v>
      </c>
    </row>
    <row r="12" spans="1:16" x14ac:dyDescent="0.3">
      <c r="A12" s="5">
        <v>8</v>
      </c>
      <c r="B12" s="5">
        <v>5</v>
      </c>
      <c r="C12" s="6">
        <f t="shared" si="8"/>
        <v>13.966400000000005</v>
      </c>
      <c r="D12" s="6">
        <f t="shared" si="0"/>
        <v>-8.9664000000000055</v>
      </c>
      <c r="E12" s="6">
        <f t="shared" si="1"/>
        <v>8.9664000000000055</v>
      </c>
      <c r="F12" s="6">
        <f t="shared" si="2"/>
        <v>80.396328960000105</v>
      </c>
      <c r="G12" s="7">
        <f t="shared" si="3"/>
        <v>1.7932800000000011</v>
      </c>
      <c r="J12" s="5">
        <v>8</v>
      </c>
      <c r="K12" s="5">
        <v>81.099999999999994</v>
      </c>
      <c r="L12" s="6">
        <f t="shared" si="9"/>
        <v>85.61965440000003</v>
      </c>
      <c r="M12" s="6">
        <f t="shared" si="4"/>
        <v>-4.5196544000000358</v>
      </c>
      <c r="N12" s="6">
        <f t="shared" si="5"/>
        <v>4.5196544000000358</v>
      </c>
      <c r="O12" s="6">
        <f t="shared" si="6"/>
        <v>20.427275895439685</v>
      </c>
      <c r="P12" s="7">
        <f t="shared" si="7"/>
        <v>5.5729400739827822E-2</v>
      </c>
    </row>
    <row r="13" spans="1:16" x14ac:dyDescent="0.3">
      <c r="A13" s="5">
        <v>9</v>
      </c>
      <c r="B13" s="5">
        <v>15</v>
      </c>
      <c r="C13" s="6">
        <f t="shared" si="8"/>
        <v>12.173120000000004</v>
      </c>
      <c r="D13" s="6">
        <f t="shared" si="0"/>
        <v>2.8268799999999956</v>
      </c>
      <c r="E13" s="6">
        <f t="shared" si="1"/>
        <v>2.8268799999999956</v>
      </c>
      <c r="F13" s="6">
        <f t="shared" si="2"/>
        <v>7.9912505343999749</v>
      </c>
      <c r="G13" s="7">
        <f t="shared" si="3"/>
        <v>0.18845866666666639</v>
      </c>
      <c r="J13" s="5">
        <v>9</v>
      </c>
      <c r="K13" s="5">
        <v>86.4</v>
      </c>
      <c r="L13" s="6">
        <f t="shared" si="9"/>
        <v>84.715723520000026</v>
      </c>
      <c r="M13" s="6">
        <f t="shared" si="4"/>
        <v>1.6842764799999799</v>
      </c>
      <c r="N13" s="6">
        <f t="shared" si="5"/>
        <v>1.6842764799999799</v>
      </c>
      <c r="O13" s="6">
        <f t="shared" si="6"/>
        <v>2.8367872610811227</v>
      </c>
      <c r="P13" s="7">
        <f t="shared" si="7"/>
        <v>1.9493940740740505E-2</v>
      </c>
    </row>
    <row r="14" spans="1:16" x14ac:dyDescent="0.3">
      <c r="A14" s="5">
        <v>10</v>
      </c>
      <c r="B14" s="5">
        <v>15</v>
      </c>
      <c r="C14" s="6">
        <f t="shared" si="8"/>
        <v>12.738496000000005</v>
      </c>
      <c r="D14" s="6">
        <f t="shared" si="0"/>
        <v>2.2615039999999951</v>
      </c>
      <c r="E14" s="6">
        <f t="shared" si="1"/>
        <v>2.2615039999999951</v>
      </c>
      <c r="F14" s="6">
        <f t="shared" si="2"/>
        <v>5.114400342015978</v>
      </c>
      <c r="G14" s="7">
        <f t="shared" si="3"/>
        <v>0.15076693333333299</v>
      </c>
      <c r="J14" s="5">
        <v>10</v>
      </c>
      <c r="K14" s="5">
        <v>86.3</v>
      </c>
      <c r="L14" s="6">
        <f t="shared" si="9"/>
        <v>85.052578816000022</v>
      </c>
      <c r="M14" s="6">
        <f t="shared" si="4"/>
        <v>1.2474211839999754</v>
      </c>
      <c r="N14" s="6">
        <f t="shared" si="5"/>
        <v>1.2474211839999754</v>
      </c>
      <c r="O14" s="6">
        <f t="shared" si="6"/>
        <v>1.5560596102919004</v>
      </c>
      <c r="P14" s="7">
        <f t="shared" si="7"/>
        <v>1.4454474901506089E-2</v>
      </c>
    </row>
    <row r="15" spans="1:16" x14ac:dyDescent="0.3">
      <c r="A15" s="5">
        <v>11</v>
      </c>
      <c r="B15" s="5">
        <v>5</v>
      </c>
      <c r="C15" s="6">
        <f t="shared" si="8"/>
        <v>13.190796800000005</v>
      </c>
      <c r="D15" s="6">
        <f t="shared" si="0"/>
        <v>-8.1907968000000047</v>
      </c>
      <c r="E15" s="6">
        <f t="shared" si="1"/>
        <v>8.1907968000000047</v>
      </c>
      <c r="F15" s="6">
        <f t="shared" si="2"/>
        <v>67.08915221889032</v>
      </c>
      <c r="G15" s="7">
        <f t="shared" si="3"/>
        <v>1.6381593600000008</v>
      </c>
      <c r="J15" s="5">
        <v>11</v>
      </c>
      <c r="K15" s="5">
        <v>81.900000000000006</v>
      </c>
      <c r="L15" s="6">
        <f t="shared" si="9"/>
        <v>85.302063052800023</v>
      </c>
      <c r="M15" s="6">
        <f t="shared" si="4"/>
        <v>-3.4020630528000169</v>
      </c>
      <c r="N15" s="6">
        <f t="shared" si="5"/>
        <v>3.4020630528000169</v>
      </c>
      <c r="O15" s="6">
        <f t="shared" si="6"/>
        <v>11.57403301522697</v>
      </c>
      <c r="P15" s="7">
        <f t="shared" si="7"/>
        <v>4.1539231413919617E-2</v>
      </c>
    </row>
    <row r="16" spans="1:16" x14ac:dyDescent="0.3">
      <c r="A16" s="5">
        <v>12</v>
      </c>
      <c r="B16" s="5">
        <v>20</v>
      </c>
      <c r="C16" s="6">
        <f t="shared" si="8"/>
        <v>11.552637440000005</v>
      </c>
      <c r="D16" s="6">
        <f t="shared" si="0"/>
        <v>8.4473625599999949</v>
      </c>
      <c r="E16" s="6">
        <f t="shared" si="1"/>
        <v>8.4473625599999949</v>
      </c>
      <c r="F16" s="6">
        <f t="shared" si="2"/>
        <v>71.35793422008966</v>
      </c>
      <c r="G16" s="7">
        <f t="shared" si="3"/>
        <v>0.42236812799999973</v>
      </c>
      <c r="J16" s="5">
        <v>12</v>
      </c>
      <c r="K16" s="5">
        <v>90.6</v>
      </c>
      <c r="L16" s="6">
        <f t="shared" si="9"/>
        <v>84.621650442240025</v>
      </c>
      <c r="M16" s="6">
        <f t="shared" si="4"/>
        <v>5.9783495577599695</v>
      </c>
      <c r="N16" s="6">
        <f t="shared" si="5"/>
        <v>5.9783495577599695</v>
      </c>
      <c r="O16" s="6">
        <f t="shared" si="6"/>
        <v>35.74066343476882</v>
      </c>
      <c r="P16" s="7">
        <f t="shared" si="7"/>
        <v>6.5986198209271194E-2</v>
      </c>
    </row>
    <row r="17" spans="1:16" x14ac:dyDescent="0.3">
      <c r="A17" s="5">
        <v>13</v>
      </c>
      <c r="B17" s="5">
        <v>15</v>
      </c>
      <c r="C17" s="6">
        <f t="shared" si="8"/>
        <v>13.242109952000005</v>
      </c>
      <c r="D17" s="6">
        <f t="shared" si="0"/>
        <v>1.7578900479999948</v>
      </c>
      <c r="E17" s="6">
        <f t="shared" si="1"/>
        <v>1.7578900479999948</v>
      </c>
      <c r="F17" s="6">
        <f t="shared" si="2"/>
        <v>3.0901774208574242</v>
      </c>
      <c r="G17" s="7">
        <f t="shared" si="3"/>
        <v>0.11719266986666632</v>
      </c>
      <c r="J17" s="5">
        <v>13</v>
      </c>
      <c r="K17" s="5">
        <v>91.4</v>
      </c>
      <c r="L17" s="6">
        <f t="shared" si="9"/>
        <v>85.817320353792027</v>
      </c>
      <c r="M17" s="6">
        <f t="shared" si="4"/>
        <v>5.5826796462079784</v>
      </c>
      <c r="N17" s="6">
        <f t="shared" si="5"/>
        <v>5.5826796462079784</v>
      </c>
      <c r="O17" s="6">
        <f t="shared" si="6"/>
        <v>31.166312032184837</v>
      </c>
      <c r="P17" s="7">
        <f t="shared" si="7"/>
        <v>6.1079646019780942E-2</v>
      </c>
    </row>
    <row r="18" spans="1:16" x14ac:dyDescent="0.3">
      <c r="A18" s="5">
        <v>14</v>
      </c>
      <c r="B18" s="5">
        <v>5</v>
      </c>
      <c r="C18" s="6">
        <f t="shared" si="8"/>
        <v>13.593687961600004</v>
      </c>
      <c r="D18" s="6">
        <f t="shared" si="0"/>
        <v>-8.5936879616000041</v>
      </c>
      <c r="E18" s="6">
        <f t="shared" si="1"/>
        <v>8.5936879616000041</v>
      </c>
      <c r="F18" s="6">
        <f t="shared" si="2"/>
        <v>73.851472781348832</v>
      </c>
      <c r="G18" s="7">
        <f t="shared" si="3"/>
        <v>1.7187375923200008</v>
      </c>
      <c r="J18" s="5">
        <v>14</v>
      </c>
      <c r="K18" s="5">
        <v>88.5</v>
      </c>
      <c r="L18" s="6">
        <f t="shared" si="9"/>
        <v>86.93385628303362</v>
      </c>
      <c r="M18" s="6">
        <f t="shared" si="4"/>
        <v>1.5661437169663799</v>
      </c>
      <c r="N18" s="6">
        <f t="shared" si="5"/>
        <v>1.5661437169663799</v>
      </c>
      <c r="O18" s="6">
        <f t="shared" si="6"/>
        <v>2.4528061421932681</v>
      </c>
      <c r="P18" s="7">
        <f t="shared" si="7"/>
        <v>1.7696539174761355E-2</v>
      </c>
    </row>
    <row r="19" spans="1:16" x14ac:dyDescent="0.3">
      <c r="A19" s="5">
        <v>15</v>
      </c>
      <c r="B19" s="5">
        <v>10</v>
      </c>
      <c r="C19" s="6">
        <f t="shared" si="8"/>
        <v>11.874950369280004</v>
      </c>
      <c r="D19" s="6">
        <f t="shared" si="0"/>
        <v>-1.874950369280004</v>
      </c>
      <c r="E19" s="6">
        <f t="shared" si="1"/>
        <v>1.874950369280004</v>
      </c>
      <c r="F19" s="6">
        <f t="shared" si="2"/>
        <v>3.5154388872632234</v>
      </c>
      <c r="G19" s="7">
        <f t="shared" si="3"/>
        <v>0.1874950369280004</v>
      </c>
      <c r="J19" s="5">
        <v>15</v>
      </c>
      <c r="K19" s="5">
        <v>93.5</v>
      </c>
      <c r="L19" s="6">
        <f t="shared" si="9"/>
        <v>87.247085026426902</v>
      </c>
      <c r="M19" s="6">
        <f t="shared" si="4"/>
        <v>6.2529149735730982</v>
      </c>
      <c r="N19" s="6">
        <f t="shared" si="5"/>
        <v>6.2529149735730982</v>
      </c>
      <c r="O19" s="6">
        <f t="shared" si="6"/>
        <v>39.098945666734657</v>
      </c>
      <c r="P19" s="7">
        <f t="shared" si="7"/>
        <v>6.6876095974043828E-2</v>
      </c>
    </row>
    <row r="20" spans="1:16" x14ac:dyDescent="0.3">
      <c r="A20" s="5">
        <v>16</v>
      </c>
      <c r="B20" s="5">
        <v>25</v>
      </c>
      <c r="C20" s="6">
        <f t="shared" si="8"/>
        <v>11.499960295424003</v>
      </c>
      <c r="D20" s="6">
        <f t="shared" si="0"/>
        <v>13.500039704575997</v>
      </c>
      <c r="E20" s="6">
        <f t="shared" si="1"/>
        <v>13.500039704575997</v>
      </c>
      <c r="F20" s="6">
        <f t="shared" si="2"/>
        <v>182.25107202512837</v>
      </c>
      <c r="G20" s="7">
        <f t="shared" si="3"/>
        <v>0.54000158818303989</v>
      </c>
      <c r="J20" s="5">
        <v>16</v>
      </c>
      <c r="K20" s="5">
        <v>105</v>
      </c>
      <c r="L20" s="6">
        <f t="shared" si="9"/>
        <v>88.497668021141521</v>
      </c>
      <c r="M20" s="6">
        <f t="shared" si="4"/>
        <v>16.502331978858479</v>
      </c>
      <c r="N20" s="6">
        <f t="shared" si="5"/>
        <v>16.502331978858479</v>
      </c>
      <c r="O20" s="6">
        <f t="shared" si="6"/>
        <v>272.32696074045521</v>
      </c>
      <c r="P20" s="7">
        <f t="shared" si="7"/>
        <v>0.15716506646531883</v>
      </c>
    </row>
    <row r="21" spans="1:16" x14ac:dyDescent="0.3">
      <c r="A21" s="5">
        <v>17</v>
      </c>
      <c r="B21" s="5">
        <v>15</v>
      </c>
      <c r="C21" s="6">
        <f t="shared" si="8"/>
        <v>14.199968236339203</v>
      </c>
      <c r="D21" s="6">
        <f t="shared" si="0"/>
        <v>0.80003176366079742</v>
      </c>
      <c r="E21" s="6">
        <f t="shared" si="1"/>
        <v>0.80003176366079742</v>
      </c>
      <c r="F21" s="6">
        <f t="shared" si="2"/>
        <v>0.64005082286620607</v>
      </c>
      <c r="G21" s="7">
        <f t="shared" si="3"/>
        <v>5.3335450910719825E-2</v>
      </c>
      <c r="J21" s="5">
        <v>17</v>
      </c>
      <c r="K21" s="5">
        <v>103.5</v>
      </c>
      <c r="L21" s="6">
        <f t="shared" si="9"/>
        <v>91.798134416913214</v>
      </c>
      <c r="M21" s="6">
        <f t="shared" si="4"/>
        <v>11.701865583086786</v>
      </c>
      <c r="N21" s="6">
        <f t="shared" si="5"/>
        <v>11.701865583086786</v>
      </c>
      <c r="O21" s="6">
        <f t="shared" si="6"/>
        <v>136.93365812463105</v>
      </c>
      <c r="P21" s="7">
        <f t="shared" si="7"/>
        <v>0.11306150321822982</v>
      </c>
    </row>
    <row r="22" spans="1:16" x14ac:dyDescent="0.3">
      <c r="A22" s="5">
        <v>18</v>
      </c>
      <c r="B22" s="5">
        <v>5</v>
      </c>
      <c r="C22" s="6">
        <f t="shared" si="8"/>
        <v>14.359974589071363</v>
      </c>
      <c r="D22" s="6">
        <f t="shared" si="0"/>
        <v>-9.3599745890713635</v>
      </c>
      <c r="E22" s="6">
        <f t="shared" si="1"/>
        <v>9.3599745890713635</v>
      </c>
      <c r="F22" s="6">
        <f t="shared" si="2"/>
        <v>87.609124308061638</v>
      </c>
      <c r="G22" s="7">
        <f t="shared" si="3"/>
        <v>1.8719949178142727</v>
      </c>
      <c r="J22" s="5">
        <v>18</v>
      </c>
      <c r="K22" s="5">
        <v>99.6</v>
      </c>
      <c r="L22" s="6">
        <f t="shared" si="9"/>
        <v>94.138507533530571</v>
      </c>
      <c r="M22" s="6">
        <f t="shared" si="4"/>
        <v>5.4614924664694229</v>
      </c>
      <c r="N22" s="6">
        <f t="shared" si="5"/>
        <v>5.4614924664694229</v>
      </c>
      <c r="O22" s="6">
        <f t="shared" si="6"/>
        <v>29.827899961302261</v>
      </c>
      <c r="P22" s="7">
        <f t="shared" si="7"/>
        <v>5.4834261711540391E-2</v>
      </c>
    </row>
    <row r="23" spans="1:16" x14ac:dyDescent="0.3">
      <c r="A23" s="5">
        <v>19</v>
      </c>
      <c r="B23" s="5">
        <v>15</v>
      </c>
      <c r="C23" s="6">
        <f t="shared" si="8"/>
        <v>12.487979671257092</v>
      </c>
      <c r="D23" s="6">
        <f t="shared" si="0"/>
        <v>2.5120203287429081</v>
      </c>
      <c r="E23" s="6">
        <f t="shared" si="1"/>
        <v>2.5120203287429081</v>
      </c>
      <c r="F23" s="6">
        <f t="shared" si="2"/>
        <v>6.3102461320176282</v>
      </c>
      <c r="G23" s="7">
        <f t="shared" si="3"/>
        <v>0.16746802191619387</v>
      </c>
      <c r="J23" s="5">
        <v>19</v>
      </c>
      <c r="K23" s="5">
        <v>107.1</v>
      </c>
      <c r="L23" s="6">
        <f t="shared" si="9"/>
        <v>95.230806026824467</v>
      </c>
      <c r="M23" s="6">
        <f t="shared" si="4"/>
        <v>11.869193973175527</v>
      </c>
      <c r="N23" s="6">
        <f t="shared" si="5"/>
        <v>11.869193973175527</v>
      </c>
      <c r="O23" s="6">
        <f t="shared" si="6"/>
        <v>140.87776557286625</v>
      </c>
      <c r="P23" s="7">
        <f t="shared" si="7"/>
        <v>0.11082347313889382</v>
      </c>
    </row>
    <row r="24" spans="1:16" x14ac:dyDescent="0.3">
      <c r="A24" s="5">
        <v>20</v>
      </c>
      <c r="B24" s="5">
        <v>20</v>
      </c>
      <c r="C24" s="6">
        <f t="shared" si="8"/>
        <v>12.990383737005674</v>
      </c>
      <c r="D24" s="6">
        <f t="shared" si="0"/>
        <v>7.0096162629943262</v>
      </c>
      <c r="E24" s="6">
        <f t="shared" si="1"/>
        <v>7.0096162629943262</v>
      </c>
      <c r="F24" s="6">
        <f t="shared" si="2"/>
        <v>49.13472015443454</v>
      </c>
      <c r="G24" s="7">
        <f t="shared" si="3"/>
        <v>0.3504808131497163</v>
      </c>
      <c r="J24" s="5">
        <v>20</v>
      </c>
      <c r="K24" s="5">
        <v>110.9</v>
      </c>
      <c r="L24" s="6">
        <f t="shared" si="9"/>
        <v>97.604644821459573</v>
      </c>
      <c r="M24" s="6">
        <f t="shared" si="4"/>
        <v>13.295355178540433</v>
      </c>
      <c r="N24" s="6">
        <f t="shared" si="5"/>
        <v>13.295355178540433</v>
      </c>
      <c r="O24" s="6">
        <f t="shared" si="6"/>
        <v>176.76646932354191</v>
      </c>
      <c r="P24" s="7">
        <f t="shared" si="7"/>
        <v>0.11988597996880462</v>
      </c>
    </row>
    <row r="25" spans="1:16" x14ac:dyDescent="0.3">
      <c r="A25" s="5">
        <v>21</v>
      </c>
      <c r="B25" s="5">
        <v>25</v>
      </c>
      <c r="C25" s="6">
        <f t="shared" si="8"/>
        <v>14.39230698960454</v>
      </c>
      <c r="D25" s="6">
        <f t="shared" si="0"/>
        <v>10.60769301039546</v>
      </c>
      <c r="E25" s="6">
        <f t="shared" si="1"/>
        <v>10.60769301039546</v>
      </c>
      <c r="F25" s="6">
        <f t="shared" si="2"/>
        <v>112.52315100279269</v>
      </c>
      <c r="G25" s="7">
        <f t="shared" si="3"/>
        <v>0.42430772041581838</v>
      </c>
      <c r="J25" s="5">
        <v>21</v>
      </c>
      <c r="K25" s="5">
        <v>114.7</v>
      </c>
      <c r="L25" s="6">
        <f t="shared" si="9"/>
        <v>100.26371585716767</v>
      </c>
      <c r="M25" s="6">
        <f t="shared" si="4"/>
        <v>14.436284142832335</v>
      </c>
      <c r="N25" s="6">
        <f t="shared" si="5"/>
        <v>14.436284142832335</v>
      </c>
      <c r="O25" s="6">
        <f t="shared" si="6"/>
        <v>208.40629985259233</v>
      </c>
      <c r="P25" s="7">
        <f t="shared" si="7"/>
        <v>0.12586123925747458</v>
      </c>
    </row>
    <row r="26" spans="1:16" x14ac:dyDescent="0.3">
      <c r="A26" s="5">
        <v>22</v>
      </c>
      <c r="B26" s="5">
        <v>15</v>
      </c>
      <c r="C26" s="6">
        <f t="shared" si="8"/>
        <v>16.513845591683634</v>
      </c>
      <c r="D26" s="6">
        <f t="shared" si="0"/>
        <v>-1.5138455916836335</v>
      </c>
      <c r="E26" s="6">
        <f t="shared" si="1"/>
        <v>1.5138455916836335</v>
      </c>
      <c r="F26" s="6">
        <f t="shared" si="2"/>
        <v>2.2917284754599705</v>
      </c>
      <c r="G26" s="7">
        <f t="shared" si="3"/>
        <v>0.10092303944557557</v>
      </c>
      <c r="J26" s="5">
        <v>22</v>
      </c>
      <c r="K26" s="5">
        <v>112.1</v>
      </c>
      <c r="L26" s="6">
        <f t="shared" si="9"/>
        <v>103.15097268573413</v>
      </c>
      <c r="M26" s="6">
        <f t="shared" si="4"/>
        <v>8.9490273142658623</v>
      </c>
      <c r="N26" s="6">
        <f t="shared" si="5"/>
        <v>8.9490273142658623</v>
      </c>
      <c r="O26" s="6">
        <f t="shared" si="6"/>
        <v>80.08508987147647</v>
      </c>
      <c r="P26" s="7">
        <f t="shared" si="7"/>
        <v>7.9830752134396638E-2</v>
      </c>
    </row>
    <row r="27" spans="1:16" x14ac:dyDescent="0.3">
      <c r="A27" s="5">
        <v>23</v>
      </c>
      <c r="B27" s="5">
        <v>0</v>
      </c>
      <c r="C27" s="6">
        <f t="shared" si="8"/>
        <v>16.211076473346907</v>
      </c>
      <c r="D27" s="6">
        <f t="shared" si="0"/>
        <v>-16.211076473346907</v>
      </c>
      <c r="E27" s="6">
        <f t="shared" si="1"/>
        <v>16.211076473346907</v>
      </c>
      <c r="F27" s="6">
        <f t="shared" si="2"/>
        <v>262.7990004247016</v>
      </c>
      <c r="G27" s="7" t="str">
        <f t="shared" si="3"/>
        <v/>
      </c>
      <c r="J27" s="5">
        <v>23</v>
      </c>
      <c r="K27" s="5">
        <v>105.5</v>
      </c>
      <c r="L27" s="6">
        <f t="shared" si="9"/>
        <v>104.94077814858731</v>
      </c>
      <c r="M27" s="6">
        <f t="shared" si="4"/>
        <v>0.55922185141268699</v>
      </c>
      <c r="N27" s="6">
        <f t="shared" si="5"/>
        <v>0.55922185141268699</v>
      </c>
      <c r="O27" s="6">
        <f t="shared" si="6"/>
        <v>0.31272907909743336</v>
      </c>
      <c r="P27" s="7">
        <f t="shared" si="7"/>
        <v>5.3006810560444267E-3</v>
      </c>
    </row>
    <row r="28" spans="1:16" x14ac:dyDescent="0.3">
      <c r="A28" s="5">
        <v>24</v>
      </c>
      <c r="B28" s="5">
        <v>5</v>
      </c>
      <c r="C28" s="6">
        <f t="shared" si="8"/>
        <v>12.968861178677527</v>
      </c>
      <c r="D28" s="6">
        <f t="shared" si="0"/>
        <v>-7.9688611786775265</v>
      </c>
      <c r="E28" s="6">
        <f t="shared" si="1"/>
        <v>7.9688611786775265</v>
      </c>
      <c r="F28" s="6">
        <f t="shared" si="2"/>
        <v>63.502748485033777</v>
      </c>
      <c r="G28" s="7">
        <f t="shared" si="3"/>
        <v>1.5937722357355053</v>
      </c>
      <c r="J28" s="5">
        <v>24</v>
      </c>
      <c r="K28" s="5">
        <v>110.9</v>
      </c>
      <c r="L28" s="6">
        <f t="shared" si="9"/>
        <v>105.05262251886987</v>
      </c>
      <c r="M28" s="6">
        <f t="shared" si="4"/>
        <v>5.8473774811301382</v>
      </c>
      <c r="N28" s="6">
        <f t="shared" si="5"/>
        <v>5.8473774811301382</v>
      </c>
      <c r="O28" s="6">
        <f t="shared" si="6"/>
        <v>34.191823406827837</v>
      </c>
      <c r="P28" s="7">
        <f t="shared" si="7"/>
        <v>5.2726577828044525E-2</v>
      </c>
    </row>
    <row r="29" spans="1:16" x14ac:dyDescent="0.3">
      <c r="E29" s="20"/>
      <c r="F29" s="20"/>
      <c r="G29" s="20"/>
    </row>
    <row r="31" spans="1:16" x14ac:dyDescent="0.3">
      <c r="J31" s="11" t="s">
        <v>15</v>
      </c>
      <c r="K31" s="12">
        <f>AVERAGE(N5:N28)</f>
        <v>6.4756242075449633</v>
      </c>
    </row>
    <row r="32" spans="1:16" x14ac:dyDescent="0.3">
      <c r="A32" s="11" t="s">
        <v>15</v>
      </c>
      <c r="B32" s="12">
        <f>AVERAGE(E5:E28)</f>
        <v>7.2154429434178704</v>
      </c>
      <c r="J32" s="11" t="s">
        <v>11</v>
      </c>
      <c r="K32" s="12">
        <f>AVERAGE(O5:O28)</f>
        <v>64.290473377455683</v>
      </c>
    </row>
    <row r="33" spans="1:11" x14ac:dyDescent="0.3">
      <c r="A33" s="11" t="s">
        <v>11</v>
      </c>
      <c r="B33" s="12">
        <f>AVERAGE(F5:F28)</f>
        <v>83.506035883140086</v>
      </c>
      <c r="J33" s="11" t="s">
        <v>16</v>
      </c>
      <c r="K33" s="11">
        <f>SQRT(K32)</f>
        <v>8.0181340333930358</v>
      </c>
    </row>
    <row r="34" spans="1:11" x14ac:dyDescent="0.3">
      <c r="A34" s="11" t="s">
        <v>16</v>
      </c>
      <c r="B34" s="11">
        <f>SQRT(B33)</f>
        <v>9.1381637041114612</v>
      </c>
      <c r="J34" s="11" t="s">
        <v>12</v>
      </c>
      <c r="K34" s="15">
        <f>AVERAGE(P5:P28)</f>
        <v>6.7170465273652322E-2</v>
      </c>
    </row>
    <row r="35" spans="1:11" x14ac:dyDescent="0.3">
      <c r="A35" s="11" t="s">
        <v>12</v>
      </c>
      <c r="B35" s="12">
        <f>AVERAGE(G5:G28)</f>
        <v>0.71407615945540204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S37"/>
  <sheetViews>
    <sheetView topLeftCell="B12" zoomScaleNormal="100" workbookViewId="0">
      <selection activeCell="K35" sqref="K35"/>
    </sheetView>
  </sheetViews>
  <sheetFormatPr defaultColWidth="8.6640625" defaultRowHeight="14.25" customHeight="1" x14ac:dyDescent="0.3"/>
  <sheetData>
    <row r="3" spans="1:19" x14ac:dyDescent="0.3">
      <c r="A3" t="s">
        <v>33</v>
      </c>
      <c r="C3">
        <v>0.2</v>
      </c>
      <c r="K3" t="s">
        <v>33</v>
      </c>
      <c r="M3">
        <v>0.2</v>
      </c>
    </row>
    <row r="4" spans="1:19" x14ac:dyDescent="0.3">
      <c r="A4" t="s">
        <v>34</v>
      </c>
      <c r="C4">
        <v>0.2</v>
      </c>
      <c r="K4" t="s">
        <v>34</v>
      </c>
      <c r="M4">
        <v>0.2</v>
      </c>
    </row>
    <row r="6" spans="1:19" x14ac:dyDescent="0.3">
      <c r="A6" t="s">
        <v>35</v>
      </c>
      <c r="K6" t="s">
        <v>36</v>
      </c>
    </row>
    <row r="7" spans="1:19" x14ac:dyDescent="0.3">
      <c r="A7" s="3" t="s">
        <v>0</v>
      </c>
      <c r="B7" s="3" t="s">
        <v>7</v>
      </c>
      <c r="C7" s="3" t="s">
        <v>37</v>
      </c>
      <c r="D7" s="3" t="s">
        <v>38</v>
      </c>
      <c r="E7" s="3" t="s">
        <v>8</v>
      </c>
      <c r="F7" s="3" t="s">
        <v>25</v>
      </c>
      <c r="G7" s="3" t="s">
        <v>26</v>
      </c>
      <c r="H7" s="3" t="s">
        <v>27</v>
      </c>
      <c r="I7" s="3" t="s">
        <v>28</v>
      </c>
      <c r="K7" s="3" t="s">
        <v>0</v>
      </c>
      <c r="L7" s="3" t="s">
        <v>7</v>
      </c>
      <c r="M7" s="3" t="s">
        <v>37</v>
      </c>
      <c r="N7" s="3" t="s">
        <v>38</v>
      </c>
      <c r="O7" s="3" t="s">
        <v>8</v>
      </c>
      <c r="P7" s="3" t="s">
        <v>25</v>
      </c>
      <c r="Q7" s="3" t="s">
        <v>26</v>
      </c>
      <c r="R7" s="3" t="s">
        <v>27</v>
      </c>
      <c r="S7" s="3" t="s">
        <v>28</v>
      </c>
    </row>
    <row r="8" spans="1:19" x14ac:dyDescent="0.3">
      <c r="A8" s="5">
        <v>1</v>
      </c>
      <c r="B8" s="6">
        <v>25</v>
      </c>
      <c r="C8" s="6">
        <f>B8</f>
        <v>25</v>
      </c>
      <c r="D8" s="6">
        <v>-25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K8" s="5">
        <v>1</v>
      </c>
      <c r="L8" s="5">
        <v>92.8</v>
      </c>
      <c r="M8" s="6">
        <f>L8</f>
        <v>92.8</v>
      </c>
      <c r="N8" s="6">
        <v>-25</v>
      </c>
      <c r="O8" s="6" t="s">
        <v>13</v>
      </c>
      <c r="P8" s="6" t="s">
        <v>13</v>
      </c>
      <c r="Q8" s="6" t="s">
        <v>13</v>
      </c>
      <c r="R8" s="6" t="s">
        <v>13</v>
      </c>
      <c r="S8" s="6" t="s">
        <v>13</v>
      </c>
    </row>
    <row r="9" spans="1:19" x14ac:dyDescent="0.3">
      <c r="A9" s="5">
        <v>2</v>
      </c>
      <c r="B9" s="6">
        <v>0</v>
      </c>
      <c r="C9" s="22">
        <f t="shared" ref="C9:C31" si="0">$C$3*B9+(1-$C$3)*(C8+D8)</f>
        <v>0</v>
      </c>
      <c r="D9" s="22">
        <f t="shared" ref="D9:D31" si="1">$C$4*(C9-C8)+(1-$C$4)*D8</f>
        <v>-25</v>
      </c>
      <c r="E9" s="6">
        <f t="shared" ref="E9:E31" si="2">C9+D9</f>
        <v>-25</v>
      </c>
      <c r="F9" s="6">
        <f t="shared" ref="F9:F31" si="3">B9-E9</f>
        <v>25</v>
      </c>
      <c r="G9" s="6">
        <f t="shared" ref="G9:G31" si="4">ABS(F9)</f>
        <v>25</v>
      </c>
      <c r="H9" s="6">
        <f t="shared" ref="H9:H31" si="5">F9^2</f>
        <v>625</v>
      </c>
      <c r="I9" s="23" t="str">
        <f t="shared" ref="I9:I31" si="6">IF(B9=0,"",G9/B9)</f>
        <v/>
      </c>
      <c r="K9" s="5">
        <v>2</v>
      </c>
      <c r="L9" s="5">
        <v>79.2</v>
      </c>
      <c r="M9" s="22">
        <f t="shared" ref="M9:M31" si="7">$C$3*L9+(1-$C$3)*(M8+N8)</f>
        <v>70.08</v>
      </c>
      <c r="N9" s="22">
        <f t="shared" ref="N9:N31" si="8">$C$4*(M9-M8)+(1-$C$4)*N8</f>
        <v>-24.544</v>
      </c>
      <c r="O9" s="6">
        <f t="shared" ref="O9:O31" si="9">M9+N9</f>
        <v>45.536000000000001</v>
      </c>
      <c r="P9" s="6">
        <f t="shared" ref="P9:P31" si="10">L9-O9</f>
        <v>33.664000000000001</v>
      </c>
      <c r="Q9" s="6">
        <f t="shared" ref="Q9:Q31" si="11">ABS(P9)</f>
        <v>33.664000000000001</v>
      </c>
      <c r="R9" s="6">
        <f t="shared" ref="R9:R31" si="12">P9^2</f>
        <v>1133.2648960000001</v>
      </c>
      <c r="S9" s="6">
        <f t="shared" ref="S9:S31" si="13">Q9/L9</f>
        <v>0.42505050505050507</v>
      </c>
    </row>
    <row r="10" spans="1:19" x14ac:dyDescent="0.3">
      <c r="A10" s="5">
        <v>3</v>
      </c>
      <c r="B10" s="6">
        <v>15</v>
      </c>
      <c r="C10" s="22">
        <f t="shared" si="0"/>
        <v>-17</v>
      </c>
      <c r="D10" s="22">
        <f t="shared" si="1"/>
        <v>-23.4</v>
      </c>
      <c r="E10" s="6">
        <f t="shared" si="2"/>
        <v>-40.4</v>
      </c>
      <c r="F10" s="6">
        <f t="shared" si="3"/>
        <v>55.4</v>
      </c>
      <c r="G10" s="6">
        <f t="shared" si="4"/>
        <v>55.4</v>
      </c>
      <c r="H10" s="6">
        <f t="shared" si="5"/>
        <v>3069.16</v>
      </c>
      <c r="I10" s="23">
        <f t="shared" si="6"/>
        <v>3.6933333333333334</v>
      </c>
      <c r="K10" s="5">
        <v>3</v>
      </c>
      <c r="L10" s="5">
        <v>84.5</v>
      </c>
      <c r="M10" s="22">
        <f t="shared" si="7"/>
        <v>53.328800000000001</v>
      </c>
      <c r="N10" s="22">
        <f t="shared" si="8"/>
        <v>-22.985440000000001</v>
      </c>
      <c r="O10" s="6">
        <f t="shared" si="9"/>
        <v>30.343360000000001</v>
      </c>
      <c r="P10" s="6">
        <f t="shared" si="10"/>
        <v>54.156639999999996</v>
      </c>
      <c r="Q10" s="6">
        <f t="shared" si="11"/>
        <v>54.156639999999996</v>
      </c>
      <c r="R10" s="6">
        <f t="shared" si="12"/>
        <v>2932.9416560895997</v>
      </c>
      <c r="S10" s="6">
        <f t="shared" si="13"/>
        <v>0.64090698224852061</v>
      </c>
    </row>
    <row r="11" spans="1:19" x14ac:dyDescent="0.3">
      <c r="A11" s="5">
        <v>4</v>
      </c>
      <c r="B11" s="6">
        <v>10</v>
      </c>
      <c r="C11" s="22">
        <f t="shared" si="0"/>
        <v>-30.32</v>
      </c>
      <c r="D11" s="22">
        <f t="shared" si="1"/>
        <v>-21.384</v>
      </c>
      <c r="E11" s="6">
        <f t="shared" si="2"/>
        <v>-51.704000000000001</v>
      </c>
      <c r="F11" s="6">
        <f t="shared" si="3"/>
        <v>61.704000000000001</v>
      </c>
      <c r="G11" s="6">
        <f t="shared" si="4"/>
        <v>61.704000000000001</v>
      </c>
      <c r="H11" s="6">
        <f t="shared" si="5"/>
        <v>3807.3836160000001</v>
      </c>
      <c r="I11" s="23">
        <f t="shared" si="6"/>
        <v>6.1703999999999999</v>
      </c>
      <c r="K11" s="5">
        <v>4</v>
      </c>
      <c r="L11" s="5">
        <v>83</v>
      </c>
      <c r="M11" s="22">
        <f t="shared" si="7"/>
        <v>40.874688000000006</v>
      </c>
      <c r="N11" s="22">
        <f t="shared" si="8"/>
        <v>-20.8791744</v>
      </c>
      <c r="O11" s="6">
        <f t="shared" si="9"/>
        <v>19.995513600000006</v>
      </c>
      <c r="P11" s="6">
        <f t="shared" si="10"/>
        <v>63.00448639999999</v>
      </c>
      <c r="Q11" s="6">
        <f t="shared" si="11"/>
        <v>63.00448639999999</v>
      </c>
      <c r="R11" s="6">
        <f t="shared" si="12"/>
        <v>3969.5653065277838</v>
      </c>
      <c r="S11" s="6">
        <f t="shared" si="13"/>
        <v>0.75909019759036134</v>
      </c>
    </row>
    <row r="12" spans="1:19" x14ac:dyDescent="0.3">
      <c r="A12" s="5">
        <v>5</v>
      </c>
      <c r="B12" s="6">
        <v>20</v>
      </c>
      <c r="C12" s="22">
        <f t="shared" si="0"/>
        <v>-37.363200000000006</v>
      </c>
      <c r="D12" s="22">
        <f t="shared" si="1"/>
        <v>-18.515840000000004</v>
      </c>
      <c r="E12" s="6">
        <f t="shared" si="2"/>
        <v>-55.87904000000001</v>
      </c>
      <c r="F12" s="6">
        <f t="shared" si="3"/>
        <v>75.879040000000003</v>
      </c>
      <c r="G12" s="6">
        <f t="shared" si="4"/>
        <v>75.879040000000003</v>
      </c>
      <c r="H12" s="6">
        <f t="shared" si="5"/>
        <v>5757.6287113216003</v>
      </c>
      <c r="I12" s="23">
        <f t="shared" si="6"/>
        <v>3.793952</v>
      </c>
      <c r="K12" s="5">
        <v>5</v>
      </c>
      <c r="L12" s="5">
        <v>88.1</v>
      </c>
      <c r="M12" s="22">
        <f t="shared" si="7"/>
        <v>33.616410880000004</v>
      </c>
      <c r="N12" s="22">
        <f t="shared" si="8"/>
        <v>-18.154994944000002</v>
      </c>
      <c r="O12" s="6">
        <f t="shared" si="9"/>
        <v>15.461415936000002</v>
      </c>
      <c r="P12" s="6">
        <f t="shared" si="10"/>
        <v>72.638584063999986</v>
      </c>
      <c r="Q12" s="6">
        <f t="shared" si="11"/>
        <v>72.638584063999986</v>
      </c>
      <c r="R12" s="6">
        <f t="shared" si="12"/>
        <v>5276.3638948227926</v>
      </c>
      <c r="S12" s="6">
        <f t="shared" si="13"/>
        <v>0.82450152172531199</v>
      </c>
    </row>
    <row r="13" spans="1:19" x14ac:dyDescent="0.3">
      <c r="A13" s="5">
        <v>6</v>
      </c>
      <c r="B13" s="6">
        <v>10</v>
      </c>
      <c r="C13" s="22">
        <f t="shared" si="0"/>
        <v>-42.703232000000014</v>
      </c>
      <c r="D13" s="22">
        <f t="shared" si="1"/>
        <v>-15.880678400000006</v>
      </c>
      <c r="E13" s="6">
        <f t="shared" si="2"/>
        <v>-58.583910400000022</v>
      </c>
      <c r="F13" s="6">
        <f t="shared" si="3"/>
        <v>68.583910400000022</v>
      </c>
      <c r="G13" s="6">
        <f t="shared" si="4"/>
        <v>68.583910400000022</v>
      </c>
      <c r="H13" s="6">
        <f t="shared" si="5"/>
        <v>4703.7527657552309</v>
      </c>
      <c r="I13" s="23">
        <f t="shared" si="6"/>
        <v>6.8583910400000025</v>
      </c>
      <c r="K13" s="5">
        <v>6</v>
      </c>
      <c r="L13" s="5">
        <v>83.9</v>
      </c>
      <c r="M13" s="22">
        <f t="shared" si="7"/>
        <v>29.149132748800003</v>
      </c>
      <c r="N13" s="22">
        <f t="shared" si="8"/>
        <v>-15.417451581440002</v>
      </c>
      <c r="O13" s="6">
        <f t="shared" si="9"/>
        <v>13.731681167360001</v>
      </c>
      <c r="P13" s="6">
        <f t="shared" si="10"/>
        <v>70.168318832640011</v>
      </c>
      <c r="Q13" s="6">
        <f t="shared" si="11"/>
        <v>70.168318832640011</v>
      </c>
      <c r="R13" s="6">
        <f t="shared" si="12"/>
        <v>4923.5929677990225</v>
      </c>
      <c r="S13" s="6">
        <f t="shared" si="13"/>
        <v>0.83633276320190708</v>
      </c>
    </row>
    <row r="14" spans="1:19" x14ac:dyDescent="0.3">
      <c r="A14" s="5">
        <v>7</v>
      </c>
      <c r="B14" s="6">
        <v>5</v>
      </c>
      <c r="C14" s="22">
        <f t="shared" si="0"/>
        <v>-45.86712832000002</v>
      </c>
      <c r="D14" s="22">
        <f t="shared" si="1"/>
        <v>-13.337321984000008</v>
      </c>
      <c r="E14" s="6">
        <f t="shared" si="2"/>
        <v>-59.204450304000027</v>
      </c>
      <c r="F14" s="6">
        <f t="shared" si="3"/>
        <v>64.204450304000034</v>
      </c>
      <c r="G14" s="6">
        <f t="shared" si="4"/>
        <v>64.204450304000034</v>
      </c>
      <c r="H14" s="6">
        <f t="shared" si="5"/>
        <v>4122.21143883881</v>
      </c>
      <c r="I14" s="23">
        <f t="shared" si="6"/>
        <v>12.840890060800007</v>
      </c>
      <c r="K14" s="5">
        <v>7</v>
      </c>
      <c r="L14" s="5">
        <v>79.900000000000006</v>
      </c>
      <c r="M14" s="22">
        <f t="shared" si="7"/>
        <v>26.965344933888005</v>
      </c>
      <c r="N14" s="22">
        <f t="shared" si="8"/>
        <v>-12.770718828134402</v>
      </c>
      <c r="O14" s="6">
        <f t="shared" si="9"/>
        <v>14.194626105753603</v>
      </c>
      <c r="P14" s="6">
        <f t="shared" si="10"/>
        <v>65.705373894246407</v>
      </c>
      <c r="Q14" s="6">
        <f t="shared" si="11"/>
        <v>65.705373894246407</v>
      </c>
      <c r="R14" s="6">
        <f t="shared" si="12"/>
        <v>4317.1961585827175</v>
      </c>
      <c r="S14" s="6">
        <f t="shared" si="13"/>
        <v>0.82234510505940428</v>
      </c>
    </row>
    <row r="15" spans="1:19" x14ac:dyDescent="0.3">
      <c r="A15" s="5">
        <v>8</v>
      </c>
      <c r="B15" s="6">
        <v>5</v>
      </c>
      <c r="C15" s="22">
        <f t="shared" si="0"/>
        <v>-46.363560243200027</v>
      </c>
      <c r="D15" s="22">
        <f t="shared" si="1"/>
        <v>-10.769143971840007</v>
      </c>
      <c r="E15" s="6">
        <f t="shared" si="2"/>
        <v>-57.132704215040036</v>
      </c>
      <c r="F15" s="6">
        <f t="shared" si="3"/>
        <v>62.132704215040036</v>
      </c>
      <c r="G15" s="6">
        <f t="shared" si="4"/>
        <v>62.132704215040036</v>
      </c>
      <c r="H15" s="6">
        <f t="shared" si="5"/>
        <v>3860.4729330736536</v>
      </c>
      <c r="I15" s="23">
        <f t="shared" si="6"/>
        <v>12.426540843008008</v>
      </c>
      <c r="K15" s="5">
        <v>8</v>
      </c>
      <c r="L15" s="5">
        <v>81.099999999999994</v>
      </c>
      <c r="M15" s="22">
        <f t="shared" si="7"/>
        <v>27.575700884602881</v>
      </c>
      <c r="N15" s="22">
        <f t="shared" si="8"/>
        <v>-10.094503872364548</v>
      </c>
      <c r="O15" s="6">
        <f t="shared" si="9"/>
        <v>17.481197012238333</v>
      </c>
      <c r="P15" s="6">
        <f t="shared" si="10"/>
        <v>63.618802987761661</v>
      </c>
      <c r="Q15" s="6">
        <f t="shared" si="11"/>
        <v>63.618802987761661</v>
      </c>
      <c r="R15" s="6">
        <f t="shared" si="12"/>
        <v>4047.3520935956321</v>
      </c>
      <c r="S15" s="6">
        <f t="shared" si="13"/>
        <v>0.78444886544712289</v>
      </c>
    </row>
    <row r="16" spans="1:19" x14ac:dyDescent="0.3">
      <c r="A16" s="5">
        <v>9</v>
      </c>
      <c r="B16" s="6">
        <v>15</v>
      </c>
      <c r="C16" s="22">
        <f t="shared" si="0"/>
        <v>-42.70616337203203</v>
      </c>
      <c r="D16" s="22">
        <f t="shared" si="1"/>
        <v>-7.8838358032384068</v>
      </c>
      <c r="E16" s="6">
        <f t="shared" si="2"/>
        <v>-50.589999175270435</v>
      </c>
      <c r="F16" s="6">
        <f t="shared" si="3"/>
        <v>65.589999175270435</v>
      </c>
      <c r="G16" s="6">
        <f t="shared" si="4"/>
        <v>65.589999175270435</v>
      </c>
      <c r="H16" s="6">
        <f t="shared" si="5"/>
        <v>4302.0479918119763</v>
      </c>
      <c r="I16" s="23">
        <f t="shared" si="6"/>
        <v>4.3726666116846955</v>
      </c>
      <c r="K16" s="5">
        <v>9</v>
      </c>
      <c r="L16" s="5">
        <v>86.4</v>
      </c>
      <c r="M16" s="22">
        <f t="shared" si="7"/>
        <v>31.26495760979067</v>
      </c>
      <c r="N16" s="22">
        <f t="shared" si="8"/>
        <v>-7.3377517528540812</v>
      </c>
      <c r="O16" s="6">
        <f t="shared" si="9"/>
        <v>23.927205856936588</v>
      </c>
      <c r="P16" s="6">
        <f t="shared" si="10"/>
        <v>62.472794143063417</v>
      </c>
      <c r="Q16" s="6">
        <f t="shared" si="11"/>
        <v>62.472794143063417</v>
      </c>
      <c r="R16" s="6">
        <f t="shared" si="12"/>
        <v>3902.8500080415788</v>
      </c>
      <c r="S16" s="6">
        <f t="shared" si="13"/>
        <v>0.72306474702619694</v>
      </c>
    </row>
    <row r="17" spans="1:19" x14ac:dyDescent="0.3">
      <c r="A17" s="5">
        <v>10</v>
      </c>
      <c r="B17" s="6">
        <v>15</v>
      </c>
      <c r="C17" s="22">
        <f t="shared" si="0"/>
        <v>-37.47199934021635</v>
      </c>
      <c r="D17" s="22">
        <f t="shared" si="1"/>
        <v>-5.2602358362275892</v>
      </c>
      <c r="E17" s="6">
        <f t="shared" si="2"/>
        <v>-42.732235176443936</v>
      </c>
      <c r="F17" s="6">
        <f t="shared" si="3"/>
        <v>57.732235176443936</v>
      </c>
      <c r="G17" s="6">
        <f t="shared" si="4"/>
        <v>57.732235176443936</v>
      </c>
      <c r="H17" s="6">
        <f t="shared" si="5"/>
        <v>3333.0109784682304</v>
      </c>
      <c r="I17" s="23">
        <f t="shared" si="6"/>
        <v>3.8488156784295957</v>
      </c>
      <c r="K17" s="5">
        <v>10</v>
      </c>
      <c r="L17" s="5">
        <v>86.3</v>
      </c>
      <c r="M17" s="22">
        <f t="shared" si="7"/>
        <v>36.401764685549274</v>
      </c>
      <c r="N17" s="22">
        <f t="shared" si="8"/>
        <v>-4.8428399871315442</v>
      </c>
      <c r="O17" s="6">
        <f t="shared" si="9"/>
        <v>31.55892469841773</v>
      </c>
      <c r="P17" s="6">
        <f t="shared" si="10"/>
        <v>54.741075301582271</v>
      </c>
      <c r="Q17" s="6">
        <f t="shared" si="11"/>
        <v>54.741075301582271</v>
      </c>
      <c r="R17" s="6">
        <f t="shared" si="12"/>
        <v>2996.5853251735007</v>
      </c>
      <c r="S17" s="6">
        <f t="shared" si="13"/>
        <v>0.63431141716781314</v>
      </c>
    </row>
    <row r="18" spans="1:19" x14ac:dyDescent="0.3">
      <c r="A18" s="5">
        <v>11</v>
      </c>
      <c r="B18" s="6">
        <v>5</v>
      </c>
      <c r="C18" s="22">
        <f t="shared" si="0"/>
        <v>-33.18578814115515</v>
      </c>
      <c r="D18" s="22">
        <f t="shared" si="1"/>
        <v>-3.3509464291698317</v>
      </c>
      <c r="E18" s="6">
        <f t="shared" si="2"/>
        <v>-36.536734570324981</v>
      </c>
      <c r="F18" s="6">
        <f t="shared" si="3"/>
        <v>41.536734570324981</v>
      </c>
      <c r="G18" s="6">
        <f t="shared" si="4"/>
        <v>41.536734570324981</v>
      </c>
      <c r="H18" s="6">
        <f t="shared" si="5"/>
        <v>1725.3003187656304</v>
      </c>
      <c r="I18" s="23">
        <f t="shared" si="6"/>
        <v>8.3073469140649969</v>
      </c>
      <c r="K18" s="5">
        <v>11</v>
      </c>
      <c r="L18" s="5">
        <v>81.900000000000006</v>
      </c>
      <c r="M18" s="22">
        <f t="shared" si="7"/>
        <v>41.627139758734188</v>
      </c>
      <c r="N18" s="22">
        <f t="shared" si="8"/>
        <v>-2.8291969750682524</v>
      </c>
      <c r="O18" s="6">
        <f t="shared" si="9"/>
        <v>38.797942783665938</v>
      </c>
      <c r="P18" s="6">
        <f t="shared" si="10"/>
        <v>43.102057216334067</v>
      </c>
      <c r="Q18" s="6">
        <f t="shared" si="11"/>
        <v>43.102057216334067</v>
      </c>
      <c r="R18" s="6">
        <f t="shared" si="12"/>
        <v>1857.7873362801356</v>
      </c>
      <c r="S18" s="6">
        <f t="shared" si="13"/>
        <v>0.52627664488808379</v>
      </c>
    </row>
    <row r="19" spans="1:19" x14ac:dyDescent="0.3">
      <c r="A19" s="5">
        <v>12</v>
      </c>
      <c r="B19" s="6">
        <v>20</v>
      </c>
      <c r="C19" s="22">
        <f t="shared" si="0"/>
        <v>-25.229387656259988</v>
      </c>
      <c r="D19" s="22">
        <f t="shared" si="1"/>
        <v>-1.0894770463568331</v>
      </c>
      <c r="E19" s="6">
        <f t="shared" si="2"/>
        <v>-26.318864702616821</v>
      </c>
      <c r="F19" s="6">
        <f t="shared" si="3"/>
        <v>46.318864702616821</v>
      </c>
      <c r="G19" s="6">
        <f t="shared" si="4"/>
        <v>46.318864702616821</v>
      </c>
      <c r="H19" s="6">
        <f t="shared" si="5"/>
        <v>2145.4372273393224</v>
      </c>
      <c r="I19" s="23">
        <f t="shared" si="6"/>
        <v>2.3159432351308409</v>
      </c>
      <c r="K19" s="5">
        <v>12</v>
      </c>
      <c r="L19" s="5">
        <v>90.6</v>
      </c>
      <c r="M19" s="22">
        <f t="shared" si="7"/>
        <v>49.158354226932758</v>
      </c>
      <c r="N19" s="22">
        <f t="shared" si="8"/>
        <v>-0.75711468641488811</v>
      </c>
      <c r="O19" s="6">
        <f t="shared" si="9"/>
        <v>48.401239540517871</v>
      </c>
      <c r="P19" s="6">
        <f t="shared" si="10"/>
        <v>42.198760459482124</v>
      </c>
      <c r="Q19" s="6">
        <f t="shared" si="11"/>
        <v>42.198760459482124</v>
      </c>
      <c r="R19" s="6">
        <f t="shared" si="12"/>
        <v>1780.7353843167518</v>
      </c>
      <c r="S19" s="6">
        <f t="shared" si="13"/>
        <v>0.46576998299649147</v>
      </c>
    </row>
    <row r="20" spans="1:19" x14ac:dyDescent="0.3">
      <c r="A20" s="5">
        <v>13</v>
      </c>
      <c r="B20" s="6">
        <v>15</v>
      </c>
      <c r="C20" s="22">
        <f t="shared" si="0"/>
        <v>-18.055091762093458</v>
      </c>
      <c r="D20" s="22">
        <f t="shared" si="1"/>
        <v>0.56327754174783951</v>
      </c>
      <c r="E20" s="6">
        <f t="shared" si="2"/>
        <v>-17.491814220345617</v>
      </c>
      <c r="F20" s="6">
        <f t="shared" si="3"/>
        <v>32.491814220345617</v>
      </c>
      <c r="G20" s="6">
        <f t="shared" si="4"/>
        <v>32.491814220345617</v>
      </c>
      <c r="H20" s="6">
        <f t="shared" si="5"/>
        <v>1055.7179913294538</v>
      </c>
      <c r="I20" s="23">
        <f t="shared" si="6"/>
        <v>2.1661209480230412</v>
      </c>
      <c r="K20" s="5">
        <v>13</v>
      </c>
      <c r="L20" s="5">
        <v>91.4</v>
      </c>
      <c r="M20" s="22">
        <f t="shared" si="7"/>
        <v>57.000991632414298</v>
      </c>
      <c r="N20" s="22">
        <f t="shared" si="8"/>
        <v>0.96283573196439765</v>
      </c>
      <c r="O20" s="6">
        <f t="shared" si="9"/>
        <v>57.963827364378695</v>
      </c>
      <c r="P20" s="6">
        <f t="shared" si="10"/>
        <v>33.436172635621311</v>
      </c>
      <c r="Q20" s="6">
        <f t="shared" si="11"/>
        <v>33.436172635621311</v>
      </c>
      <c r="R20" s="6">
        <f t="shared" si="12"/>
        <v>1117.9776405190714</v>
      </c>
      <c r="S20" s="6">
        <f t="shared" si="13"/>
        <v>0.3658224577201456</v>
      </c>
    </row>
    <row r="21" spans="1:19" x14ac:dyDescent="0.3">
      <c r="A21" s="5">
        <v>14</v>
      </c>
      <c r="B21" s="6">
        <v>5</v>
      </c>
      <c r="C21" s="22">
        <f t="shared" si="0"/>
        <v>-12.993451376276495</v>
      </c>
      <c r="D21" s="22">
        <f t="shared" si="1"/>
        <v>1.4629501105616642</v>
      </c>
      <c r="E21" s="6">
        <f t="shared" si="2"/>
        <v>-11.530501265714831</v>
      </c>
      <c r="F21" s="6">
        <f t="shared" si="3"/>
        <v>16.530501265714832</v>
      </c>
      <c r="G21" s="6">
        <f t="shared" si="4"/>
        <v>16.530501265714832</v>
      </c>
      <c r="H21" s="6">
        <f t="shared" si="5"/>
        <v>273.2574720957997</v>
      </c>
      <c r="I21" s="23">
        <f t="shared" si="6"/>
        <v>3.3061002531429664</v>
      </c>
      <c r="K21" s="5">
        <v>14</v>
      </c>
      <c r="L21" s="5">
        <v>88.5</v>
      </c>
      <c r="M21" s="22">
        <f t="shared" si="7"/>
        <v>64.071061891502964</v>
      </c>
      <c r="N21" s="22">
        <f t="shared" si="8"/>
        <v>2.1842826373892512</v>
      </c>
      <c r="O21" s="6">
        <f t="shared" si="9"/>
        <v>66.255344528892209</v>
      </c>
      <c r="P21" s="6">
        <f t="shared" si="10"/>
        <v>22.244655471107791</v>
      </c>
      <c r="Q21" s="6">
        <f t="shared" si="11"/>
        <v>22.244655471107791</v>
      </c>
      <c r="R21" s="6">
        <f t="shared" si="12"/>
        <v>494.82469702828575</v>
      </c>
      <c r="S21" s="6">
        <f t="shared" si="13"/>
        <v>0.25135203922155697</v>
      </c>
    </row>
    <row r="22" spans="1:19" x14ac:dyDescent="0.3">
      <c r="A22" s="5">
        <v>15</v>
      </c>
      <c r="B22" s="6">
        <v>10</v>
      </c>
      <c r="C22" s="22">
        <f t="shared" si="0"/>
        <v>-7.2244010125718656</v>
      </c>
      <c r="D22" s="22">
        <f t="shared" si="1"/>
        <v>2.3241701611902572</v>
      </c>
      <c r="E22" s="6">
        <f t="shared" si="2"/>
        <v>-4.9002308513816084</v>
      </c>
      <c r="F22" s="6">
        <f t="shared" si="3"/>
        <v>14.900230851381608</v>
      </c>
      <c r="G22" s="6">
        <f t="shared" si="4"/>
        <v>14.900230851381608</v>
      </c>
      <c r="H22" s="6">
        <f t="shared" si="5"/>
        <v>222.01687942446426</v>
      </c>
      <c r="I22" s="23">
        <f t="shared" si="6"/>
        <v>1.4900230851381608</v>
      </c>
      <c r="K22" s="5">
        <v>15</v>
      </c>
      <c r="L22" s="5">
        <v>93.5</v>
      </c>
      <c r="M22" s="22">
        <f t="shared" si="7"/>
        <v>71.704275623113773</v>
      </c>
      <c r="N22" s="22">
        <f t="shared" si="8"/>
        <v>3.2740688562335629</v>
      </c>
      <c r="O22" s="6">
        <f t="shared" si="9"/>
        <v>74.978344479347342</v>
      </c>
      <c r="P22" s="6">
        <f t="shared" si="10"/>
        <v>18.521655520652658</v>
      </c>
      <c r="Q22" s="6">
        <f t="shared" si="11"/>
        <v>18.521655520652658</v>
      </c>
      <c r="R22" s="6">
        <f t="shared" si="12"/>
        <v>343.05172322572309</v>
      </c>
      <c r="S22" s="6">
        <f t="shared" si="13"/>
        <v>0.19809257241339742</v>
      </c>
    </row>
    <row r="23" spans="1:19" x14ac:dyDescent="0.3">
      <c r="A23" s="5">
        <v>16</v>
      </c>
      <c r="B23" s="6">
        <v>25</v>
      </c>
      <c r="C23" s="22">
        <f t="shared" si="0"/>
        <v>1.0798153188947133</v>
      </c>
      <c r="D23" s="22">
        <f t="shared" si="1"/>
        <v>3.5201793952455218</v>
      </c>
      <c r="E23" s="6">
        <f t="shared" si="2"/>
        <v>4.5999947141402355</v>
      </c>
      <c r="F23" s="6">
        <f t="shared" si="3"/>
        <v>20.400005285859763</v>
      </c>
      <c r="G23" s="6">
        <f t="shared" si="4"/>
        <v>20.400005285859763</v>
      </c>
      <c r="H23" s="6">
        <f t="shared" si="5"/>
        <v>416.16021566310627</v>
      </c>
      <c r="I23" s="23">
        <f t="shared" si="6"/>
        <v>0.8160002114343905</v>
      </c>
      <c r="K23" s="5">
        <v>16</v>
      </c>
      <c r="L23" s="5">
        <v>105</v>
      </c>
      <c r="M23" s="22">
        <f t="shared" si="7"/>
        <v>80.982675583477885</v>
      </c>
      <c r="N23" s="22">
        <f t="shared" si="8"/>
        <v>4.4749350770596728</v>
      </c>
      <c r="O23" s="6">
        <f t="shared" si="9"/>
        <v>85.457610660537554</v>
      </c>
      <c r="P23" s="6">
        <f t="shared" si="10"/>
        <v>19.542389339462446</v>
      </c>
      <c r="Q23" s="6">
        <f t="shared" si="11"/>
        <v>19.542389339462446</v>
      </c>
      <c r="R23" s="6">
        <f t="shared" si="12"/>
        <v>381.90498109513544</v>
      </c>
      <c r="S23" s="6">
        <f t="shared" si="13"/>
        <v>0.18611799370916615</v>
      </c>
    </row>
    <row r="24" spans="1:19" x14ac:dyDescent="0.3">
      <c r="A24" s="5">
        <v>17</v>
      </c>
      <c r="B24" s="6">
        <v>15</v>
      </c>
      <c r="C24" s="22">
        <f t="shared" si="0"/>
        <v>6.6799957713121891</v>
      </c>
      <c r="D24" s="22">
        <f t="shared" si="1"/>
        <v>3.9361796066799126</v>
      </c>
      <c r="E24" s="6">
        <f t="shared" si="2"/>
        <v>10.616175377992102</v>
      </c>
      <c r="F24" s="6">
        <f t="shared" si="3"/>
        <v>4.3838246220078982</v>
      </c>
      <c r="G24" s="6">
        <f t="shared" si="4"/>
        <v>4.3838246220078982</v>
      </c>
      <c r="H24" s="6">
        <f t="shared" si="5"/>
        <v>19.217918316522692</v>
      </c>
      <c r="I24" s="23">
        <f t="shared" si="6"/>
        <v>0.29225497480052653</v>
      </c>
      <c r="K24" s="5">
        <v>17</v>
      </c>
      <c r="L24" s="5">
        <v>103.5</v>
      </c>
      <c r="M24" s="22">
        <f t="shared" si="7"/>
        <v>89.066088528430043</v>
      </c>
      <c r="N24" s="22">
        <f t="shared" si="8"/>
        <v>5.1966306506381699</v>
      </c>
      <c r="O24" s="6">
        <f t="shared" si="9"/>
        <v>94.262719179068213</v>
      </c>
      <c r="P24" s="6">
        <f t="shared" si="10"/>
        <v>9.2372808209317867</v>
      </c>
      <c r="Q24" s="6">
        <f t="shared" si="11"/>
        <v>9.2372808209317867</v>
      </c>
      <c r="R24" s="6">
        <f t="shared" si="12"/>
        <v>85.32735696475423</v>
      </c>
      <c r="S24" s="6">
        <f t="shared" si="13"/>
        <v>8.924909005731195E-2</v>
      </c>
    </row>
    <row r="25" spans="1:19" x14ac:dyDescent="0.3">
      <c r="A25" s="5">
        <v>18</v>
      </c>
      <c r="B25" s="6">
        <v>5</v>
      </c>
      <c r="C25" s="22">
        <f t="shared" si="0"/>
        <v>9.4929403023936825</v>
      </c>
      <c r="D25" s="22">
        <f t="shared" si="1"/>
        <v>3.7115325915602289</v>
      </c>
      <c r="E25" s="6">
        <f t="shared" si="2"/>
        <v>13.204472893953911</v>
      </c>
      <c r="F25" s="6">
        <f t="shared" si="3"/>
        <v>-8.2044728939539109</v>
      </c>
      <c r="G25" s="6">
        <f t="shared" si="4"/>
        <v>8.2044728939539109</v>
      </c>
      <c r="H25" s="6">
        <f t="shared" si="5"/>
        <v>67.313375467624468</v>
      </c>
      <c r="I25" s="23">
        <f t="shared" si="6"/>
        <v>1.6408945787907823</v>
      </c>
      <c r="K25" s="5">
        <v>18</v>
      </c>
      <c r="L25" s="5">
        <v>99.6</v>
      </c>
      <c r="M25" s="22">
        <f t="shared" si="7"/>
        <v>95.330175343254581</v>
      </c>
      <c r="N25" s="22">
        <f t="shared" si="8"/>
        <v>5.4101218834754432</v>
      </c>
      <c r="O25" s="6">
        <f t="shared" si="9"/>
        <v>100.74029722673002</v>
      </c>
      <c r="P25" s="6">
        <f t="shared" si="10"/>
        <v>-1.1402972267300271</v>
      </c>
      <c r="Q25" s="6">
        <f t="shared" si="11"/>
        <v>1.1402972267300271</v>
      </c>
      <c r="R25" s="6">
        <f t="shared" si="12"/>
        <v>1.3002777652881907</v>
      </c>
      <c r="S25" s="6">
        <f t="shared" si="13"/>
        <v>1.1448767336646858E-2</v>
      </c>
    </row>
    <row r="26" spans="1:19" x14ac:dyDescent="0.3">
      <c r="A26" s="5">
        <v>19</v>
      </c>
      <c r="B26" s="6">
        <v>15</v>
      </c>
      <c r="C26" s="22">
        <f t="shared" si="0"/>
        <v>13.563578315163129</v>
      </c>
      <c r="D26" s="22">
        <f t="shared" si="1"/>
        <v>3.7833536758020729</v>
      </c>
      <c r="E26" s="6">
        <f t="shared" si="2"/>
        <v>17.346931990965203</v>
      </c>
      <c r="F26" s="6">
        <f t="shared" si="3"/>
        <v>-2.3469319909652029</v>
      </c>
      <c r="G26" s="6">
        <f t="shared" si="4"/>
        <v>2.3469319909652029</v>
      </c>
      <c r="H26" s="6">
        <f t="shared" si="5"/>
        <v>5.5080897702158911</v>
      </c>
      <c r="I26" s="23">
        <f t="shared" si="6"/>
        <v>0.15646213273101353</v>
      </c>
      <c r="K26" s="5">
        <v>19</v>
      </c>
      <c r="L26" s="5">
        <v>107.1</v>
      </c>
      <c r="M26" s="22">
        <f t="shared" si="7"/>
        <v>102.01223778138403</v>
      </c>
      <c r="N26" s="22">
        <f t="shared" si="8"/>
        <v>5.6645099944062451</v>
      </c>
      <c r="O26" s="6">
        <f t="shared" si="9"/>
        <v>107.67674777579028</v>
      </c>
      <c r="P26" s="6">
        <f t="shared" si="10"/>
        <v>-0.57674777579028103</v>
      </c>
      <c r="Q26" s="6">
        <f t="shared" si="11"/>
        <v>0.57674777579028103</v>
      </c>
      <c r="R26" s="6">
        <f t="shared" si="12"/>
        <v>0.33263799687903628</v>
      </c>
      <c r="S26" s="6">
        <f t="shared" si="13"/>
        <v>5.3851332940269003E-3</v>
      </c>
    </row>
    <row r="27" spans="1:19" x14ac:dyDescent="0.3">
      <c r="A27" s="5">
        <v>20</v>
      </c>
      <c r="B27" s="6">
        <v>20</v>
      </c>
      <c r="C27" s="22">
        <f t="shared" si="0"/>
        <v>17.877545592772165</v>
      </c>
      <c r="D27" s="22">
        <f t="shared" si="1"/>
        <v>3.8894763961634657</v>
      </c>
      <c r="E27" s="6">
        <f t="shared" si="2"/>
        <v>21.767021988935632</v>
      </c>
      <c r="F27" s="6">
        <f t="shared" si="3"/>
        <v>-1.7670219889356318</v>
      </c>
      <c r="G27" s="6">
        <f t="shared" si="4"/>
        <v>1.7670219889356318</v>
      </c>
      <c r="H27" s="6">
        <f t="shared" si="5"/>
        <v>3.1223667093820362</v>
      </c>
      <c r="I27" s="23">
        <f t="shared" si="6"/>
        <v>8.8351099446781586E-2</v>
      </c>
      <c r="K27" s="5">
        <v>20</v>
      </c>
      <c r="L27" s="5">
        <v>110.9</v>
      </c>
      <c r="M27" s="22">
        <f t="shared" si="7"/>
        <v>108.32139822063223</v>
      </c>
      <c r="N27" s="22">
        <f t="shared" si="8"/>
        <v>5.7934400833746365</v>
      </c>
      <c r="O27" s="6">
        <f t="shared" si="9"/>
        <v>114.11483830400687</v>
      </c>
      <c r="P27" s="6">
        <f t="shared" si="10"/>
        <v>-3.2148383040068609</v>
      </c>
      <c r="Q27" s="6">
        <f t="shared" si="11"/>
        <v>3.2148383040068609</v>
      </c>
      <c r="R27" s="6">
        <f t="shared" si="12"/>
        <v>10.33518532090971</v>
      </c>
      <c r="S27" s="6">
        <f t="shared" si="13"/>
        <v>2.8988623119989728E-2</v>
      </c>
    </row>
    <row r="28" spans="1:19" x14ac:dyDescent="0.3">
      <c r="A28" s="5">
        <v>21</v>
      </c>
      <c r="B28" s="6">
        <v>25</v>
      </c>
      <c r="C28" s="22">
        <f t="shared" si="0"/>
        <v>22.413617591148505</v>
      </c>
      <c r="D28" s="22">
        <f t="shared" si="1"/>
        <v>4.0187955166060405</v>
      </c>
      <c r="E28" s="6">
        <f t="shared" si="2"/>
        <v>26.432413107754545</v>
      </c>
      <c r="F28" s="6">
        <f t="shared" si="3"/>
        <v>-1.4324131077545452</v>
      </c>
      <c r="G28" s="6">
        <f t="shared" si="4"/>
        <v>1.4324131077545452</v>
      </c>
      <c r="H28" s="6">
        <f t="shared" si="5"/>
        <v>2.0518073112670345</v>
      </c>
      <c r="I28" s="23">
        <f t="shared" si="6"/>
        <v>5.7296524310181812E-2</v>
      </c>
      <c r="K28" s="5">
        <v>21</v>
      </c>
      <c r="L28" s="5">
        <v>114.7</v>
      </c>
      <c r="M28" s="22">
        <f t="shared" si="7"/>
        <v>114.2318706432055</v>
      </c>
      <c r="N28" s="22">
        <f t="shared" si="8"/>
        <v>5.8168465512143621</v>
      </c>
      <c r="O28" s="6">
        <f t="shared" si="9"/>
        <v>120.04871719441986</v>
      </c>
      <c r="P28" s="6">
        <f t="shared" si="10"/>
        <v>-5.3487171944198622</v>
      </c>
      <c r="Q28" s="6">
        <f t="shared" si="11"/>
        <v>5.3487171944198622</v>
      </c>
      <c r="R28" s="6">
        <f t="shared" si="12"/>
        <v>28.608775625882682</v>
      </c>
      <c r="S28" s="6">
        <f t="shared" si="13"/>
        <v>4.6632233604357996E-2</v>
      </c>
    </row>
    <row r="29" spans="1:19" x14ac:dyDescent="0.3">
      <c r="A29" s="5">
        <v>22</v>
      </c>
      <c r="B29" s="6">
        <v>15</v>
      </c>
      <c r="C29" s="22">
        <f t="shared" si="0"/>
        <v>24.145930486203639</v>
      </c>
      <c r="D29" s="22">
        <f t="shared" si="1"/>
        <v>3.5614989922958595</v>
      </c>
      <c r="E29" s="6">
        <f t="shared" si="2"/>
        <v>27.707429478499499</v>
      </c>
      <c r="F29" s="6">
        <f t="shared" si="3"/>
        <v>-12.707429478499499</v>
      </c>
      <c r="G29" s="6">
        <f t="shared" si="4"/>
        <v>12.707429478499499</v>
      </c>
      <c r="H29" s="6">
        <f t="shared" si="5"/>
        <v>161.47876395103805</v>
      </c>
      <c r="I29" s="23">
        <f t="shared" si="6"/>
        <v>0.8471619652332999</v>
      </c>
      <c r="K29" s="5">
        <v>22</v>
      </c>
      <c r="L29" s="5">
        <v>112.1</v>
      </c>
      <c r="M29" s="22">
        <f t="shared" si="7"/>
        <v>118.45897375553589</v>
      </c>
      <c r="N29" s="22">
        <f t="shared" si="8"/>
        <v>5.4988978634375689</v>
      </c>
      <c r="O29" s="6">
        <f t="shared" si="9"/>
        <v>123.95787161897346</v>
      </c>
      <c r="P29" s="6">
        <f t="shared" si="10"/>
        <v>-11.857871618973462</v>
      </c>
      <c r="Q29" s="6">
        <f t="shared" si="11"/>
        <v>11.857871618973462</v>
      </c>
      <c r="R29" s="6">
        <f t="shared" si="12"/>
        <v>140.60911933205631</v>
      </c>
      <c r="S29" s="6">
        <f t="shared" si="13"/>
        <v>0.10577940784097647</v>
      </c>
    </row>
    <row r="30" spans="1:19" x14ac:dyDescent="0.3">
      <c r="A30" s="5">
        <v>23</v>
      </c>
      <c r="B30" s="6">
        <v>0</v>
      </c>
      <c r="C30" s="22">
        <f t="shared" si="0"/>
        <v>22.165943582799599</v>
      </c>
      <c r="D30" s="22">
        <f t="shared" si="1"/>
        <v>2.4532018131558795</v>
      </c>
      <c r="E30" s="6">
        <f t="shared" si="2"/>
        <v>24.619145395955478</v>
      </c>
      <c r="F30" s="6">
        <f t="shared" si="3"/>
        <v>-24.619145395955478</v>
      </c>
      <c r="G30" s="6">
        <f t="shared" si="4"/>
        <v>24.619145395955478</v>
      </c>
      <c r="H30" s="6">
        <f t="shared" si="5"/>
        <v>606.10232002719579</v>
      </c>
      <c r="I30" s="23" t="str">
        <f t="shared" si="6"/>
        <v/>
      </c>
      <c r="K30" s="5">
        <v>23</v>
      </c>
      <c r="L30" s="5">
        <v>105.5</v>
      </c>
      <c r="M30" s="22">
        <f t="shared" si="7"/>
        <v>120.26629729517876</v>
      </c>
      <c r="N30" s="22">
        <f t="shared" si="8"/>
        <v>4.760582998678629</v>
      </c>
      <c r="O30" s="6">
        <f t="shared" si="9"/>
        <v>125.02688029385739</v>
      </c>
      <c r="P30" s="6">
        <f t="shared" si="10"/>
        <v>-19.526880293857388</v>
      </c>
      <c r="Q30" s="6">
        <f t="shared" si="11"/>
        <v>19.526880293857388</v>
      </c>
      <c r="R30" s="6">
        <f t="shared" si="12"/>
        <v>381.29905401063598</v>
      </c>
      <c r="S30" s="6">
        <f t="shared" si="13"/>
        <v>0.18508891273798472</v>
      </c>
    </row>
    <row r="31" spans="1:19" x14ac:dyDescent="0.3">
      <c r="A31" s="5">
        <v>24</v>
      </c>
      <c r="B31" s="6">
        <v>5</v>
      </c>
      <c r="C31" s="22">
        <f t="shared" si="0"/>
        <v>20.695316316764384</v>
      </c>
      <c r="D31" s="22">
        <f t="shared" si="1"/>
        <v>1.6684359973176606</v>
      </c>
      <c r="E31" s="6">
        <f t="shared" si="2"/>
        <v>22.363752314082046</v>
      </c>
      <c r="F31" s="6">
        <f t="shared" si="3"/>
        <v>-17.363752314082046</v>
      </c>
      <c r="G31" s="6">
        <f t="shared" si="4"/>
        <v>17.363752314082046</v>
      </c>
      <c r="H31" s="6">
        <f t="shared" si="5"/>
        <v>301.4998944247896</v>
      </c>
      <c r="I31" s="23">
        <f t="shared" si="6"/>
        <v>3.4727504628164092</v>
      </c>
      <c r="K31" s="5">
        <v>24</v>
      </c>
      <c r="L31" s="5">
        <v>110.9</v>
      </c>
      <c r="M31" s="22">
        <f t="shared" si="7"/>
        <v>122.20150423508592</v>
      </c>
      <c r="N31" s="22">
        <f t="shared" si="8"/>
        <v>4.1955077869243356</v>
      </c>
      <c r="O31" s="6">
        <f t="shared" si="9"/>
        <v>126.39701202201026</v>
      </c>
      <c r="P31" s="6">
        <f t="shared" si="10"/>
        <v>-15.497012022010253</v>
      </c>
      <c r="Q31" s="6">
        <f t="shared" si="11"/>
        <v>15.497012022010253</v>
      </c>
      <c r="R31" s="6">
        <f t="shared" si="12"/>
        <v>240.1573816103303</v>
      </c>
      <c r="S31" s="6">
        <f t="shared" si="13"/>
        <v>0.13973861156005637</v>
      </c>
    </row>
    <row r="32" spans="1:19" x14ac:dyDescent="0.3">
      <c r="C32" s="20"/>
      <c r="D32" s="20"/>
      <c r="E32" s="20"/>
      <c r="F32" s="20"/>
      <c r="G32" s="20"/>
      <c r="H32" s="20"/>
      <c r="I32" s="20"/>
    </row>
    <row r="34" spans="1:12" x14ac:dyDescent="0.3">
      <c r="A34" s="11" t="s">
        <v>15</v>
      </c>
      <c r="B34" s="12">
        <f>AVERAGE(G9:G31)</f>
        <v>33.966499215615322</v>
      </c>
      <c r="K34" s="11" t="s">
        <v>15</v>
      </c>
      <c r="L34" s="12">
        <f>AVERAGE(Q9:Q31)</f>
        <v>34.15719180533366</v>
      </c>
    </row>
    <row r="35" spans="1:12" x14ac:dyDescent="0.3">
      <c r="A35" s="11" t="s">
        <v>11</v>
      </c>
      <c r="B35" s="12">
        <f>AVERAGE(H9:H31)</f>
        <v>1764.5588293854485</v>
      </c>
      <c r="K35" s="11" t="s">
        <v>11</v>
      </c>
      <c r="L35" s="12">
        <f>AVERAGE(R9:R31)</f>
        <v>1754.9549503358462</v>
      </c>
    </row>
    <row r="36" spans="1:12" x14ac:dyDescent="0.3">
      <c r="A36" s="11" t="s">
        <v>16</v>
      </c>
      <c r="B36" s="11">
        <f>SQRT(B35)</f>
        <v>42.006652203971797</v>
      </c>
      <c r="K36" s="11" t="s">
        <v>16</v>
      </c>
      <c r="L36" s="11">
        <f>SQRT(L35)</f>
        <v>41.892182448946798</v>
      </c>
    </row>
    <row r="37" spans="1:12" x14ac:dyDescent="0.3">
      <c r="A37" s="11" t="s">
        <v>12</v>
      </c>
      <c r="B37" s="12">
        <f>AVERAGE(I9:I31)</f>
        <v>3.7600807596342385</v>
      </c>
      <c r="K37" s="11" t="s">
        <v>12</v>
      </c>
      <c r="L37" s="12">
        <f>AVERAGE(S9:S31)</f>
        <v>0.39373019891379729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"/>
  <sheetViews>
    <sheetView zoomScaleNormal="100" workbookViewId="0">
      <selection activeCell="A9" sqref="A9"/>
    </sheetView>
  </sheetViews>
  <sheetFormatPr defaultColWidth="8.6640625" defaultRowHeight="14.25" customHeight="1" x14ac:dyDescent="0.3"/>
  <cols>
    <col min="1" max="1" width="26" style="29" customWidth="1"/>
    <col min="2" max="6" width="16" style="29" customWidth="1"/>
    <col min="7" max="16384" width="8.6640625" style="29"/>
  </cols>
  <sheetData>
    <row r="1" spans="1:6" ht="13.8" customHeight="1" x14ac:dyDescent="0.3">
      <c r="A1" s="28"/>
      <c r="B1" s="28"/>
      <c r="C1" s="28"/>
      <c r="D1" s="28"/>
      <c r="E1" s="28"/>
      <c r="F1" s="28"/>
    </row>
    <row r="2" spans="1:6" ht="13.8" customHeight="1" x14ac:dyDescent="0.3">
      <c r="A2" s="27" t="s">
        <v>39</v>
      </c>
      <c r="B2" s="27"/>
      <c r="C2" s="27"/>
      <c r="D2" s="27"/>
      <c r="E2" s="27"/>
      <c r="F2" s="28"/>
    </row>
    <row r="3" spans="1:6" ht="13.8" customHeight="1" x14ac:dyDescent="0.3">
      <c r="A3" s="24" t="s">
        <v>40</v>
      </c>
      <c r="B3" s="24" t="s">
        <v>15</v>
      </c>
      <c r="C3" s="24" t="s">
        <v>11</v>
      </c>
      <c r="D3" s="24" t="s">
        <v>16</v>
      </c>
      <c r="E3" s="24" t="s">
        <v>12</v>
      </c>
    </row>
    <row r="4" spans="1:6" ht="13.8" customHeight="1" x14ac:dyDescent="0.3">
      <c r="A4" s="25" t="s">
        <v>41</v>
      </c>
      <c r="B4" s="26">
        <f>SMA!F31</f>
        <v>7.6190476190476186</v>
      </c>
      <c r="C4" s="26">
        <f>SMA!F32</f>
        <v>79.100529100529116</v>
      </c>
      <c r="D4" s="26">
        <f>SMA!F33</f>
        <v>8.8938478231038509</v>
      </c>
      <c r="E4" s="26">
        <f>SMA!F34</f>
        <v>0.76027777777777772</v>
      </c>
    </row>
    <row r="5" spans="1:6" ht="13.8" customHeight="1" x14ac:dyDescent="0.3">
      <c r="A5" s="25" t="s">
        <v>42</v>
      </c>
      <c r="B5" s="26">
        <f>DMA!B31</f>
        <v>9.6783625730994132</v>
      </c>
      <c r="C5" s="26">
        <f>DMA!B32</f>
        <v>142.51137102014295</v>
      </c>
      <c r="D5" s="26">
        <f>DMA!B33</f>
        <v>11.937812656435137</v>
      </c>
      <c r="E5" s="26">
        <f>DMA!B34</f>
        <v>0.95493827160493838</v>
      </c>
    </row>
    <row r="6" spans="1:6" ht="13.8" customHeight="1" x14ac:dyDescent="0.3">
      <c r="A6" s="25" t="s">
        <v>43</v>
      </c>
      <c r="B6" s="26">
        <f>SES!B32</f>
        <v>7.2154429434178704</v>
      </c>
      <c r="C6" s="26">
        <f>SES!B33</f>
        <v>83.506035883140086</v>
      </c>
      <c r="D6" s="26">
        <f>SES!B34</f>
        <v>9.1381637041114612</v>
      </c>
      <c r="E6" s="26">
        <f>SES!B35</f>
        <v>0.71407615945540204</v>
      </c>
    </row>
    <row r="7" spans="1:6" ht="13.8" customHeight="1" x14ac:dyDescent="0.3">
      <c r="A7" s="25" t="s">
        <v>44</v>
      </c>
      <c r="B7" s="26">
        <f>DES!B34</f>
        <v>33.966499215615322</v>
      </c>
      <c r="C7" s="26">
        <f>DES!B35</f>
        <v>1764.5588293854485</v>
      </c>
      <c r="D7" s="26">
        <f>DES!B36</f>
        <v>42.006652203971797</v>
      </c>
      <c r="E7" s="26">
        <f>DES!B37</f>
        <v>3.7600807596342385</v>
      </c>
    </row>
    <row r="8" spans="1:6" ht="13.8" customHeight="1" x14ac:dyDescent="0.3">
      <c r="A8" s="30" t="s">
        <v>45</v>
      </c>
      <c r="B8" s="31">
        <f>MIN(B4:B7)</f>
        <v>7.2154429434178704</v>
      </c>
      <c r="C8" s="31">
        <f>MIN(C4:C7)</f>
        <v>79.100529100529116</v>
      </c>
      <c r="D8" s="31">
        <f>MIN(D4:D7)</f>
        <v>8.8938478231038509</v>
      </c>
      <c r="E8" s="31">
        <f>MIN(E4:E7)</f>
        <v>0.71407615945540204</v>
      </c>
    </row>
    <row r="9" spans="1:6" ht="13.8" customHeight="1" x14ac:dyDescent="0.3">
      <c r="A9" s="32" t="s">
        <v>46</v>
      </c>
      <c r="B9" s="33" t="str">
        <f>INDEX($A$4:$A$7,MATCH(B8,B$4:B$7,0))</f>
        <v>SES</v>
      </c>
      <c r="C9" s="33" t="str">
        <f>INDEX($A$4:$A$7,MATCH(C8,C$4:C$7,0))</f>
        <v>SMA</v>
      </c>
      <c r="D9" s="33" t="str">
        <f>INDEX($A$4:$A$7,MATCH(D8,D$4:D$7,0))</f>
        <v>SMA</v>
      </c>
      <c r="E9" s="33" t="str">
        <f>INDEX($A$4:$A$7,MATCH(E8,E$4:E$7,0))</f>
        <v>SES</v>
      </c>
    </row>
    <row r="10" spans="1:6" ht="13.8" customHeight="1" x14ac:dyDescent="0.3"/>
    <row r="11" spans="1:6" ht="13.8" customHeight="1" x14ac:dyDescent="0.3"/>
    <row r="12" spans="1:6" ht="13.8" customHeight="1" x14ac:dyDescent="0.3"/>
    <row r="13" spans="1:6" ht="13.8" customHeight="1" x14ac:dyDescent="0.3">
      <c r="A13" s="27" t="s">
        <v>47</v>
      </c>
      <c r="B13" s="27"/>
      <c r="C13" s="27"/>
      <c r="D13" s="27"/>
      <c r="E13" s="27"/>
    </row>
    <row r="14" spans="1:6" ht="13.8" customHeight="1" x14ac:dyDescent="0.3">
      <c r="A14" s="24" t="s">
        <v>40</v>
      </c>
      <c r="B14" s="24" t="s">
        <v>15</v>
      </c>
      <c r="C14" s="24" t="s">
        <v>11</v>
      </c>
      <c r="D14" s="24" t="s">
        <v>16</v>
      </c>
      <c r="E14" s="24" t="s">
        <v>12</v>
      </c>
    </row>
    <row r="15" spans="1:6" ht="13.8" customHeight="1" x14ac:dyDescent="0.3">
      <c r="A15" s="25" t="s">
        <v>41</v>
      </c>
      <c r="B15" s="26">
        <f>SMA!N31</f>
        <v>4.5507936507936533</v>
      </c>
      <c r="C15" s="26">
        <f>SMA!N32</f>
        <v>31.034550264550283</v>
      </c>
      <c r="D15" s="26">
        <f>SMA!N33</f>
        <v>5.5708662041508665</v>
      </c>
      <c r="E15" s="26">
        <f>SMA!N34</f>
        <v>4.70539042609813E-2</v>
      </c>
    </row>
    <row r="16" spans="1:6" ht="13.8" customHeight="1" x14ac:dyDescent="0.3">
      <c r="A16" s="25" t="s">
        <v>42</v>
      </c>
      <c r="B16" s="26">
        <f>DMA!P30</f>
        <v>5.0947368421052692</v>
      </c>
      <c r="C16" s="26">
        <f>DMA!P31</f>
        <v>38.349161793372375</v>
      </c>
      <c r="D16" s="26">
        <f>DMA!P32</f>
        <v>6.1926700052055397</v>
      </c>
      <c r="E16" s="26">
        <f>DMA!P33</f>
        <v>5.2908539634550722E-2</v>
      </c>
    </row>
    <row r="17" spans="1:6" ht="13.8" customHeight="1" x14ac:dyDescent="0.3">
      <c r="A17" s="25" t="s">
        <v>43</v>
      </c>
      <c r="B17" s="26">
        <f>SES!K31</f>
        <v>6.4756242075449633</v>
      </c>
      <c r="C17" s="26">
        <f>SES!K32</f>
        <v>64.290473377455683</v>
      </c>
      <c r="D17" s="26">
        <f>SES!K33</f>
        <v>8.0181340333930358</v>
      </c>
      <c r="E17" s="26">
        <f>SES!K34</f>
        <v>6.7170465273652322E-2</v>
      </c>
    </row>
    <row r="18" spans="1:6" ht="13.8" customHeight="1" x14ac:dyDescent="0.3">
      <c r="A18" s="25" t="s">
        <v>44</v>
      </c>
      <c r="B18" s="26">
        <f>DES!L34</f>
        <v>34.15719180533366</v>
      </c>
      <c r="C18" s="26">
        <f>DES!L35</f>
        <v>1754.9549503358462</v>
      </c>
      <c r="D18" s="26">
        <f>DES!L36</f>
        <v>41.892182448946798</v>
      </c>
      <c r="E18" s="26">
        <f>DES!L37</f>
        <v>0.39373019891379729</v>
      </c>
    </row>
    <row r="19" spans="1:6" ht="13.8" customHeight="1" x14ac:dyDescent="0.3">
      <c r="A19" s="30" t="s">
        <v>45</v>
      </c>
      <c r="B19" s="31">
        <f>MIN(B15:B18)</f>
        <v>4.5507936507936533</v>
      </c>
      <c r="C19" s="31">
        <f>MIN(C15:C18)</f>
        <v>31.034550264550283</v>
      </c>
      <c r="D19" s="31">
        <f>MIN(D15:D18)</f>
        <v>5.5708662041508665</v>
      </c>
      <c r="E19" s="31">
        <f>MIN(E15:E18)</f>
        <v>4.70539042609813E-2</v>
      </c>
    </row>
    <row r="20" spans="1:6" ht="13.8" customHeight="1" x14ac:dyDescent="0.3">
      <c r="A20" s="32" t="s">
        <v>46</v>
      </c>
      <c r="B20" s="33" t="str">
        <f>INDEX($A$15:$A$18,MATCH(B19,B$15:B$18,0))</f>
        <v>SMA</v>
      </c>
      <c r="C20" s="33" t="str">
        <f>INDEX($A$15:$A$18,MATCH(C19,C$15:C$18,0))</f>
        <v>SMA</v>
      </c>
      <c r="D20" s="33" t="str">
        <f>INDEX($A$15:$A$18,MATCH(D19,D$15:D$18,0))</f>
        <v>SMA</v>
      </c>
      <c r="E20" s="33" t="str">
        <f>INDEX($A$15:$A$18,MATCH(E19,E$15:E$18,0))</f>
        <v>SMA</v>
      </c>
    </row>
    <row r="21" spans="1:6" ht="13.8" customHeight="1" x14ac:dyDescent="0.3"/>
    <row r="22" spans="1:6" ht="15" customHeight="1" x14ac:dyDescent="0.3"/>
    <row r="23" spans="1:6" ht="15" customHeight="1" x14ac:dyDescent="0.3"/>
    <row r="24" spans="1:6" ht="15" customHeight="1" x14ac:dyDescent="0.3"/>
    <row r="25" spans="1:6" ht="15" customHeight="1" x14ac:dyDescent="0.3"/>
    <row r="26" spans="1:6" ht="15" customHeight="1" x14ac:dyDescent="0.3"/>
    <row r="27" spans="1:6" ht="15" customHeight="1" x14ac:dyDescent="0.3">
      <c r="A27" s="28"/>
      <c r="B27" s="28"/>
      <c r="C27" s="28"/>
      <c r="D27" s="28"/>
      <c r="E27" s="28"/>
      <c r="F27" s="28"/>
    </row>
    <row r="28" spans="1:6" ht="15" customHeight="1" x14ac:dyDescent="0.3">
      <c r="A28" s="28"/>
      <c r="B28" s="28"/>
      <c r="C28" s="28"/>
      <c r="D28" s="28"/>
      <c r="E28" s="28"/>
      <c r="F28" s="28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SMA</vt:lpstr>
      <vt:lpstr>DMA</vt:lpstr>
      <vt:lpstr>SES</vt:lpstr>
      <vt:lpstr>DES</vt:lpstr>
      <vt:lpstr>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Alvaro Satria</cp:lastModifiedBy>
  <dcterms:modified xsi:type="dcterms:W3CDTF">2026-08-25T19:01:40Z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2026-08-22T16:12:20Z</dcterms:created>
  <dc:creator>Alvaro Satria</dc:creator>
  <dc:description/>
  <dc:language>en-US</dc:language>
  <cp:lastModifiedBy>Alvaro Satria</cp:lastModifiedBy>
  <dcterms:modified xsi:type="dcterms:W3CDTF">2026-08-25T18:53:02Z</dcterms:modified>
  <cp:revision>0</cp:revision>
  <dc:subject/>
  <dc:title/>
</cp:coreProperties>
</file>